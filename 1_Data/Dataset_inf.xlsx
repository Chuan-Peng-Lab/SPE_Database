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T3/Dell5510/HCP_cloud/My_Lab/Projects/SPE_Database/1_Data/"/>
    </mc:Choice>
  </mc:AlternateContent>
  <xr:revisionPtr revIDLastSave="0" documentId="13_ncr:1_{D349CC3E-223A-5B40-9D8B-6354D0874423}" xr6:coauthVersionLast="47" xr6:coauthVersionMax="47" xr10:uidLastSave="{00000000-0000-0000-0000-000000000000}"/>
  <bookViews>
    <workbookView xWindow="32260" yWindow="2540" windowWidth="32660" windowHeight="13940" xr2:uid="{00000000-000D-0000-FFFF-FFFF00000000}"/>
  </bookViews>
  <sheets>
    <sheet name="Label" sheetId="1" r:id="rId1"/>
    <sheet name="Sheet1" sheetId="2" r:id="rId2"/>
  </sheets>
  <definedNames>
    <definedName name="_xlnm._FilterDatabase" localSheetId="0" hidden="1">Label!$A$1:$AL$74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4" i="1" l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5" i="1"/>
  <c r="AG14" i="1"/>
  <c r="AG9" i="1"/>
  <c r="AG6" i="1"/>
  <c r="AG5" i="1"/>
  <c r="AG4" i="1"/>
  <c r="AG3" i="1"/>
  <c r="AG2" i="1"/>
</calcChain>
</file>

<file path=xl/sharedStrings.xml><?xml version="1.0" encoding="utf-8"?>
<sst xmlns="http://schemas.openxmlformats.org/spreadsheetml/2006/main" count="1390" uniqueCount="517">
  <si>
    <t>Note</t>
  </si>
  <si>
    <t>ID</t>
  </si>
  <si>
    <t>Paper_ID</t>
  </si>
  <si>
    <t>Paper</t>
  </si>
  <si>
    <t>Behavior  Data</t>
  </si>
  <si>
    <t>Questionnaire Data</t>
  </si>
  <si>
    <t>EEG/fMRI Data</t>
  </si>
  <si>
    <t>Corresponding author</t>
  </si>
  <si>
    <t>Email</t>
  </si>
  <si>
    <t>Author</t>
  </si>
  <si>
    <t>Year</t>
  </si>
  <si>
    <t>Journal</t>
  </si>
  <si>
    <t>Exp</t>
  </si>
  <si>
    <t>Study</t>
  </si>
  <si>
    <t>Self</t>
  </si>
  <si>
    <t>Close</t>
  </si>
  <si>
    <t>Others</t>
  </si>
  <si>
    <t>Practice_Trial</t>
  </si>
  <si>
    <t>Practice_Block</t>
  </si>
  <si>
    <t>Formal_Trials</t>
  </si>
  <si>
    <t>Formal_Block</t>
  </si>
  <si>
    <t>Extra_Var</t>
  </si>
  <si>
    <t>Session</t>
  </si>
  <si>
    <t>Environmental Information</t>
  </si>
  <si>
    <t>Country</t>
  </si>
  <si>
    <t>City</t>
  </si>
  <si>
    <t>Stimu_language</t>
  </si>
  <si>
    <t>Sample_Size</t>
  </si>
  <si>
    <t>Male</t>
  </si>
  <si>
    <t>Female</t>
  </si>
  <si>
    <t>Drop_Subject</t>
  </si>
  <si>
    <t>Remain</t>
  </si>
  <si>
    <t>Design</t>
  </si>
  <si>
    <t>Stim_Type</t>
  </si>
  <si>
    <t>File_Name</t>
  </si>
  <si>
    <t>Repo_Link</t>
  </si>
  <si>
    <t>License</t>
  </si>
  <si>
    <t>Pair Number</t>
  </si>
  <si>
    <t>P5E1</t>
  </si>
  <si>
    <t>P5</t>
  </si>
  <si>
    <t>✅</t>
  </si>
  <si>
    <t>Merryn D. Constable</t>
  </si>
  <si>
    <t>merryndconstable@gmail.com</t>
  </si>
  <si>
    <t>Constable et al.</t>
  </si>
  <si>
    <t>Journal of Experimental Psychology:  Human Perception and Performance</t>
  </si>
  <si>
    <t>We</t>
  </si>
  <si>
    <t>They/Alone</t>
  </si>
  <si>
    <t>NA</t>
  </si>
  <si>
    <t>Hungary</t>
  </si>
  <si>
    <t>Budapest</t>
  </si>
  <si>
    <t>Hungarian</t>
  </si>
  <si>
    <t>2(Self,Other)*2(Individual,Group)</t>
  </si>
  <si>
    <t>geometric shape</t>
  </si>
  <si>
    <t>Constable_2019_EPHPP</t>
  </si>
  <si>
    <t>https://osf.io/sejw7/</t>
  </si>
  <si>
    <t>No License</t>
  </si>
  <si>
    <t>P5E2</t>
  </si>
  <si>
    <t>P5E3</t>
  </si>
  <si>
    <t>P5E4</t>
  </si>
  <si>
    <t>P1/P2</t>
  </si>
  <si>
    <t>Team</t>
  </si>
  <si>
    <t>Stranger/Stranger Team</t>
  </si>
  <si>
    <t>English</t>
  </si>
  <si>
    <t>P6E1</t>
  </si>
  <si>
    <t>P6</t>
  </si>
  <si>
    <t>Constable &amp; Knoblich</t>
  </si>
  <si>
    <t>Acta Psychologica</t>
  </si>
  <si>
    <t>Partner</t>
  </si>
  <si>
    <t>Stranger</t>
  </si>
  <si>
    <t>Switch Identity: (Partner, Stranger)</t>
  </si>
  <si>
    <r>
      <rPr>
        <b/>
        <sz val="11"/>
        <color theme="1"/>
        <rFont val="Calibri"/>
        <charset val="134"/>
        <scheme val="minor"/>
      </rPr>
      <t>1 (non-switch)</t>
    </r>
    <r>
      <rPr>
        <sz val="11"/>
        <color theme="1"/>
        <rFont val="Calibri"/>
        <charset val="134"/>
        <scheme val="minor"/>
      </rPr>
      <t>; 2 (switched)</t>
    </r>
  </si>
  <si>
    <t>United Kingdom</t>
  </si>
  <si>
    <t>Newcastle</t>
  </si>
  <si>
    <t>3(ShapeIdentity:Self,Partner,
Stranger)*2(Phase:1,2)*2(SwitchIdentity:Partner,Stranger)</t>
  </si>
  <si>
    <t>Constable_2020_AP</t>
  </si>
  <si>
    <t>https://osf.io/5zaej/</t>
  </si>
  <si>
    <t>P19E1</t>
  </si>
  <si>
    <t>P19</t>
  </si>
  <si>
    <t>Claus Lamm</t>
  </si>
  <si>
    <t>claus.lamm@univie.ac.at</t>
  </si>
  <si>
    <t>Bukowski et al.</t>
  </si>
  <si>
    <t>Friend</t>
  </si>
  <si>
    <t>Age, IRI, cEQ, PANAS</t>
  </si>
  <si>
    <t>2 (two consecutive days)</t>
  </si>
  <si>
    <t>Laboratory paired testing, participants in adjacent independent rooms</t>
  </si>
  <si>
    <t>Austria</t>
  </si>
  <si>
    <t>Vienna</t>
  </si>
  <si>
    <t>2(matching condition: matching, nonmatching) × 3(shape association: self, familiar other, neutral instance)</t>
  </si>
  <si>
    <t>Bukowski_2021_AP</t>
  </si>
  <si>
    <t>https://osf.io/pcv3u/</t>
  </si>
  <si>
    <t>CC BY 4.0</t>
  </si>
  <si>
    <t>P19E2</t>
  </si>
  <si>
    <t>P20E1</t>
  </si>
  <si>
    <t>P20</t>
  </si>
  <si>
    <t>Chuan-Peng Hu</t>
  </si>
  <si>
    <t>hcp4715@gmail.com</t>
  </si>
  <si>
    <t>Hu et al.</t>
  </si>
  <si>
    <t>Collabra: Psychology</t>
  </si>
  <si>
    <t>Other</t>
  </si>
  <si>
    <t>Matlab + PTB</t>
  </si>
  <si>
    <t>China</t>
  </si>
  <si>
    <t>Nanjing</t>
  </si>
  <si>
    <t>Chinese</t>
  </si>
  <si>
    <t>Hu_2020_CP</t>
  </si>
  <si>
    <t>https://osf.io/4zvkm/</t>
  </si>
  <si>
    <t>M : NM =1 : 2</t>
  </si>
  <si>
    <t>P34E1</t>
  </si>
  <si>
    <t>P34</t>
  </si>
  <si>
    <t>Ivar R. Kolvoort</t>
  </si>
  <si>
    <t>i.r.kolvoort@uva.nl</t>
  </si>
  <si>
    <t>IR Kolvoort et al.</t>
  </si>
  <si>
    <t>Human Brain Mapping</t>
  </si>
  <si>
    <t>Netherlands</t>
  </si>
  <si>
    <t>Amsterdam</t>
  </si>
  <si>
    <t>2(Self,Non-Self)*2(Matching,Nonmatching)*4(Nodelay,40,120,or700ms)</t>
  </si>
  <si>
    <t>Kolvoort_2020_HBM</t>
  </si>
  <si>
    <t>The data that support the findings of this study are available from the corresponding author upon reasonable request.</t>
  </si>
  <si>
    <t>Need Permission</t>
  </si>
  <si>
    <t>P45E1</t>
  </si>
  <si>
    <t>P45</t>
  </si>
  <si>
    <t>unavailable</t>
  </si>
  <si>
    <t>Sanjay Kumar</t>
  </si>
  <si>
    <t>skumar@brookes.ac.uk</t>
  </si>
  <si>
    <t>L McIvor et al.</t>
  </si>
  <si>
    <t>European Journal of Neuroscience</t>
  </si>
  <si>
    <t>Emotion valence: (happy/sad/neutral)</t>
  </si>
  <si>
    <t>E-prime2.0</t>
  </si>
  <si>
    <t>Oxford</t>
  </si>
  <si>
    <t>2(group: control, depressed) × 2(shape category: self, other) × 3(emotion valence: happy, sad, neutral)</t>
  </si>
  <si>
    <t>geometric shape and face</t>
  </si>
  <si>
    <t>Mcivor_2020_EJN</t>
  </si>
  <si>
    <t>https://figshare.com/s/e1391ebe3f11e8d70d9f</t>
  </si>
  <si>
    <t>P46E1</t>
  </si>
  <si>
    <t>P46</t>
  </si>
  <si>
    <t>Merryn Dale Constable</t>
  </si>
  <si>
    <t>Cognition and Emotion</t>
  </si>
  <si>
    <t>2(Association: Happy self / Sad self, between-subjects) × 2(Strength: Strong / Weak emotion cue, within-subjects) × 2(Trial Type: Match / Mismatch) × 2(Identity: Self / Stranger</t>
  </si>
  <si>
    <t>grey scale squares</t>
  </si>
  <si>
    <t>Constable_2020_CE</t>
  </si>
  <si>
    <t>https://osf.io/khyjq/</t>
  </si>
  <si>
    <t>P46E2</t>
  </si>
  <si>
    <t>2(Association: Light self / Dark self, between-subjects) × 2(Strength: Strong / Weak luminance cue, within-subjects) × 2(Trial Type: Match / Mismatch) × 2(Identity: Self / Stranger)</t>
  </si>
  <si>
    <t>mood</t>
  </si>
  <si>
    <t>P51E1</t>
  </si>
  <si>
    <t>P51</t>
  </si>
  <si>
    <t>Xiangping Gao</t>
  </si>
  <si>
    <t>gaoxp@shnu.edu.cn.</t>
  </si>
  <si>
    <t>Qian et al.</t>
  </si>
  <si>
    <t>Quarterly Journal of Experimental Psychology</t>
  </si>
  <si>
    <t>Stranger/Celebrity</t>
  </si>
  <si>
    <t>Mood</t>
  </si>
  <si>
    <t>Shanghai</t>
  </si>
  <si>
    <t>2(matching condition: matching, mismatching) × 3(identity: self, stranger, celebrity) × 4(mood: happiness, anxiety, serenity, depression)</t>
  </si>
  <si>
    <t>Qian_2019_QJEP</t>
  </si>
  <si>
    <t>https://osf.io/bw27c</t>
  </si>
  <si>
    <t>P51E2</t>
  </si>
  <si>
    <t>Celebrity</t>
  </si>
  <si>
    <r>
      <rPr>
        <sz val="11"/>
        <color theme="1"/>
        <rFont val="Calibri"/>
        <charset val="134"/>
        <scheme val="minor"/>
      </rPr>
      <t xml:space="preserve">Cue: (With; </t>
    </r>
    <r>
      <rPr>
        <b/>
        <sz val="11"/>
        <color theme="1"/>
        <rFont val="Calibri"/>
        <charset val="134"/>
        <scheme val="minor"/>
      </rPr>
      <t>Without</t>
    </r>
    <r>
      <rPr>
        <sz val="11"/>
        <color theme="1"/>
        <rFont val="Calibri"/>
        <charset val="134"/>
        <scheme val="minor"/>
      </rPr>
      <t>)</t>
    </r>
  </si>
  <si>
    <t>2(identity:self,celebrity)*2(alertingcue:with,without)</t>
  </si>
  <si>
    <t>P54E1</t>
  </si>
  <si>
    <t>P54</t>
  </si>
  <si>
    <t>Sarah Schäfer</t>
  </si>
  <si>
    <t>schaefers@uni-trier.de</t>
  </si>
  <si>
    <t>Schäfer &amp; Frings</t>
  </si>
  <si>
    <t>Journal of Cognitive Psychology</t>
  </si>
  <si>
    <t>Mother/Acquaintance</t>
  </si>
  <si>
    <t>none</t>
  </si>
  <si>
    <t>Germany</t>
  </si>
  <si>
    <t>Trier</t>
  </si>
  <si>
    <t>German</t>
  </si>
  <si>
    <t>No Gender Data</t>
  </si>
  <si>
    <t>2 (matching condition: matching, nonmatching) × 3 (shape association: self (Ich), familiar other (Mutter), neutral (Bekannter))</t>
  </si>
  <si>
    <t>Schaefer_2019_CP</t>
  </si>
  <si>
    <t>http://dx.doi.org/10.23668/psycharchives.2642</t>
  </si>
  <si>
    <t>CC-BY-SA 4.0</t>
  </si>
  <si>
    <t>P54E2</t>
  </si>
  <si>
    <t xml:space="preserve">2 (matching condition: matching, nonmatching) × 4 (shape association: self (Ich), familiar other (Mutter), neutral1 (Bekannter), neutral2 (Nichts)) </t>
  </si>
  <si>
    <t>P54E3</t>
  </si>
  <si>
    <t>face</t>
  </si>
  <si>
    <t>P95E1</t>
  </si>
  <si>
    <t>P95</t>
  </si>
  <si>
    <t>Mateusz Wozniak</t>
  </si>
  <si>
    <t>mateusz.wozniak@monash.edu</t>
  </si>
  <si>
    <t>Woźniak et al.</t>
  </si>
  <si>
    <t>PloS one</t>
  </si>
  <si>
    <t>Facial Gender: (Male, Female)</t>
  </si>
  <si>
    <t>Australia</t>
  </si>
  <si>
    <t>Melbourne</t>
  </si>
  <si>
    <t>2(matching condition: matching, nonmatching) × 3(identity: self, friend, stranger)</t>
  </si>
  <si>
    <t>Wozniak_2018_PLOS</t>
  </si>
  <si>
    <t>https://journals.plos.org/plosone/article?id=10.1371/journal.pone.0190679#sec025</t>
  </si>
  <si>
    <t>P95E2</t>
  </si>
  <si>
    <t>No shape Information</t>
  </si>
  <si>
    <t>Pn4E1</t>
  </si>
  <si>
    <t>Pn4</t>
  </si>
  <si>
    <t>Marius Golubickis</t>
  </si>
  <si>
    <t>marius.golubickis@plymouth.ac.uk</t>
  </si>
  <si>
    <t>Golubickis &amp; Macrae</t>
  </si>
  <si>
    <r>
      <rPr>
        <sz val="11"/>
        <color theme="1"/>
        <rFont val="Calibri"/>
        <charset val="134"/>
        <scheme val="minor"/>
      </rPr>
      <t>Presentation: (</t>
    </r>
    <r>
      <rPr>
        <b/>
        <sz val="11"/>
        <color theme="1"/>
        <rFont val="Calibri"/>
        <charset val="134"/>
        <scheme val="minor"/>
      </rPr>
      <t>Mixed</t>
    </r>
    <r>
      <rPr>
        <sz val="11"/>
        <color theme="1"/>
        <rFont val="Calibri"/>
        <charset val="134"/>
        <scheme val="minor"/>
      </rPr>
      <t>, Blocked)</t>
    </r>
  </si>
  <si>
    <t>Plymouth</t>
  </si>
  <si>
    <t>3(ShapeAssociation:self,friend,stranger)*2(Presentation:mixed,blocked)*2(TrialType:matching,nonmatching)</t>
  </si>
  <si>
    <t>Golubickis_2021_AP</t>
  </si>
  <si>
    <t>https://osf.io/8bktn/</t>
  </si>
  <si>
    <t>CC BY-NC-ND</t>
  </si>
  <si>
    <t>Pn4E2</t>
  </si>
  <si>
    <t>3(ShapeAssociation:self,friend,stranger)*2(Presentation:mixd,blocked)*2(TrialType:matching,nonmatching)</t>
  </si>
  <si>
    <t>Pn13E1</t>
  </si>
  <si>
    <t>Pn13</t>
  </si>
  <si>
    <t>Mayan Navon</t>
  </si>
  <si>
    <t>mayanna@post.bgu.ac.il</t>
  </si>
  <si>
    <t>Navon &amp; Makovski</t>
  </si>
  <si>
    <t>Israel</t>
  </si>
  <si>
    <t>Ra'anana</t>
  </si>
  <si>
    <t>Hebrew</t>
  </si>
  <si>
    <t>2(matching condition: matching, nonmatching) × 3(shape category: self, friend, stranger)</t>
  </si>
  <si>
    <t>Navon_2021</t>
  </si>
  <si>
    <t>https://osf.io/4srhn/?view_only=70ea4888bf524b598b0d61d04a54d9d9</t>
  </si>
  <si>
    <t>CC0 1.0 Universal</t>
  </si>
  <si>
    <t>Pn13E2</t>
  </si>
  <si>
    <t>Father</t>
  </si>
  <si>
    <t>Close-Relative</t>
  </si>
  <si>
    <t>2(matching condition: matching, nonmatching) × 3(shape category: father, close-relative, stranger)</t>
  </si>
  <si>
    <t>Pn13E3</t>
  </si>
  <si>
    <t>2(matching condition: matching, nonmatching) × 3(shape category: self, father, stranger)</t>
  </si>
  <si>
    <t>Pn13E4</t>
  </si>
  <si>
    <t>Pn14E1</t>
  </si>
  <si>
    <t>Pn14</t>
  </si>
  <si>
    <t>Gabriela Orellana-Corrales</t>
  </si>
  <si>
    <t>gabriela.orellana-corrales@uni-tuebingen.de</t>
  </si>
  <si>
    <t>G Orellana-Corrales et al.</t>
  </si>
  <si>
    <t>Experimental Psychology</t>
  </si>
  <si>
    <t>Tübingen</t>
  </si>
  <si>
    <t>2(targetlocation:self，stranger)*3(typeofrepresentation:label，shape，pair)</t>
  </si>
  <si>
    <t>Orellana-Corrales_2021_EP</t>
  </si>
  <si>
    <t>https://osf.io/3ke4f/</t>
  </si>
  <si>
    <t>Pn14E2</t>
  </si>
  <si>
    <t>2(target
location:self,stranger)*3(typeofrepresentation:label,shape,pair)</t>
  </si>
  <si>
    <t>Pn14E3</t>
  </si>
  <si>
    <t>2(shape:self_x0002_associated，stranger-associated)*2(trialtype:
matching，nonmatching)</t>
  </si>
  <si>
    <t>Pn16E1</t>
  </si>
  <si>
    <t>Pn16</t>
  </si>
  <si>
    <t>Saga L. Svensson</t>
  </si>
  <si>
    <t>s.svensson.19@abdn.ac.uk</t>
  </si>
  <si>
    <t>Svensson et al.</t>
  </si>
  <si>
    <t>Psychological Research</t>
  </si>
  <si>
    <t>Aberdeen</t>
  </si>
  <si>
    <t>2(ShapeAssociation:self,friend)*2(MatchingCondition:matching,nonmatching)</t>
  </si>
  <si>
    <t>Svensson_2021_PR</t>
  </si>
  <si>
    <t>https://osf.io/cj7fp/</t>
  </si>
  <si>
    <t>Pn16E2</t>
  </si>
  <si>
    <t>Frequency (Self &gt; Friend)</t>
  </si>
  <si>
    <t>2(StimulusFrequency:self-frequent,friend-frequent)*2(ShapeAssociation:self,friend)*2(MatchingCondition:matching,nonmatching)</t>
  </si>
  <si>
    <t>Pn16E3</t>
  </si>
  <si>
    <t>Frequency (Self &lt; Friend)</t>
  </si>
  <si>
    <t>2(StimulusFrequency:self-frequent,friend-frequent)*2
(ShapeAssociation:self,friend)*2(MatchingCondition:matching,nonmatching)*TrialNumber</t>
  </si>
  <si>
    <t>Pn23E1</t>
  </si>
  <si>
    <t>Pn23</t>
  </si>
  <si>
    <t>Lili Guan</t>
  </si>
  <si>
    <t>guanll353@nenu.edu.cn</t>
  </si>
  <si>
    <t>Xu et al.</t>
  </si>
  <si>
    <t>Current Psychology</t>
  </si>
  <si>
    <t>Tasks: (Modified; Unmodified)</t>
  </si>
  <si>
    <t>Changchun</t>
  </si>
  <si>
    <t>2(matching condition: matching, nonmatching) × 3(shape association: self, friend, stranger)</t>
  </si>
  <si>
    <t>Xu_2021_CP</t>
  </si>
  <si>
    <r>
      <rPr>
        <sz val="12"/>
        <color theme="1"/>
        <rFont val="Times New Roman"/>
        <charset val="134"/>
      </rPr>
      <t>The datasets generated during and/or analysed during the current study are available from the corresponding author on reason</t>
    </r>
    <r>
      <rPr>
        <sz val="12"/>
        <color theme="1"/>
        <rFont val="Arial"/>
        <charset val="134"/>
      </rPr>
      <t>_x0002_</t>
    </r>
    <r>
      <rPr>
        <sz val="12"/>
        <color theme="1"/>
        <rFont val="Times New Roman"/>
        <charset val="134"/>
      </rPr>
      <t>able request.</t>
    </r>
  </si>
  <si>
    <t>Ps1E1</t>
  </si>
  <si>
    <t>Ps1</t>
  </si>
  <si>
    <t>Tuo Liu</t>
  </si>
  <si>
    <t>tuo.liu@uol.de</t>
  </si>
  <si>
    <t>Liu et al.</t>
  </si>
  <si>
    <t>Cognitive Research: Principles and Implications</t>
  </si>
  <si>
    <t>Gorilla Experiment Builder</t>
  </si>
  <si>
    <t>In United Kingdom</t>
  </si>
  <si>
    <t>2(matching condition: matching, nonmatching) × 2(association: self, stranger)</t>
  </si>
  <si>
    <t>Liu_2023_CP</t>
  </si>
  <si>
    <t>https://osf.io/4n6j7/</t>
  </si>
  <si>
    <t>moral</t>
  </si>
  <si>
    <t>Ps2E1</t>
  </si>
  <si>
    <t>Ps2</t>
  </si>
  <si>
    <t>6b</t>
  </si>
  <si>
    <t xml:space="preserve">Moral: </t>
  </si>
  <si>
    <t>2(matching:match,mismatch)*2(reference:self,other)*3(moralcharacter:good,neutral,bad)</t>
  </si>
  <si>
    <t>Hu_2023</t>
  </si>
  <si>
    <t>https://zenodo.org/records/8031086</t>
  </si>
  <si>
    <t>Need Citation</t>
  </si>
  <si>
    <t>unpublished</t>
  </si>
  <si>
    <t>Ps3E1</t>
  </si>
  <si>
    <t>Ps3</t>
  </si>
  <si>
    <t>Sui (unpublished)</t>
  </si>
  <si>
    <t>Sui_2014</t>
  </si>
  <si>
    <t>Ps4E1</t>
  </si>
  <si>
    <t>Ps4</t>
  </si>
  <si>
    <t>Sui_2015</t>
  </si>
  <si>
    <t>Ps4E2</t>
  </si>
  <si>
    <t>(1:1:1)</t>
  </si>
  <si>
    <t>Ps5E1</t>
  </si>
  <si>
    <t>Ps5</t>
  </si>
  <si>
    <t>Sui et al.</t>
  </si>
  <si>
    <t>Attention, Perception, &amp; Psychophysics</t>
  </si>
  <si>
    <t>Mother</t>
  </si>
  <si>
    <t>Frequency (Self = 1; Friend = 1; Stranger = 1)</t>
  </si>
  <si>
    <t>Beijing</t>
  </si>
  <si>
    <t>Sui_2014_APP</t>
  </si>
  <si>
    <t>(1:3:3)</t>
  </si>
  <si>
    <t>Ps5E2</t>
  </si>
  <si>
    <t>Frequency (Self = 1; Friend = 3; Stranger = 3)</t>
  </si>
  <si>
    <t>(3:1:3)</t>
  </si>
  <si>
    <t>Ps5E3</t>
  </si>
  <si>
    <t>Frequency (Self = 3; Friend = 1; Stranger = 3)</t>
  </si>
  <si>
    <t>(3:3:1)</t>
  </si>
  <si>
    <t>Ps5E4</t>
  </si>
  <si>
    <t>Frequency (Self = 3; Friend = 3; Stranger = 1)</t>
  </si>
  <si>
    <t>Pt1E1</t>
  </si>
  <si>
    <t>Pt1</t>
  </si>
  <si>
    <t>Bernhard Pastötter,</t>
  </si>
  <si>
    <t>pastoetter@uni-trier.de</t>
  </si>
  <si>
    <t>Haciahmet et al.</t>
  </si>
  <si>
    <t>PSYCHOLOGY</t>
  </si>
  <si>
    <t>2(stimulipairings:self-associated,stranger-associated)*2(condition:match,non-match)</t>
  </si>
  <si>
    <t>Haciahmet_2023_Psy</t>
  </si>
  <si>
    <t>https://osf.io/2juxk/?view_only=b4e01124337a4801b4beb99dbe803b8d</t>
  </si>
  <si>
    <t>Pt2E1</t>
  </si>
  <si>
    <t>Pt2</t>
  </si>
  <si>
    <t>Catherine Hobbs</t>
  </si>
  <si>
    <t>c.hobbs@bath.ac.uk</t>
  </si>
  <si>
    <t>Hobbs et al.</t>
  </si>
  <si>
    <t>Psychological Medicine</t>
  </si>
  <si>
    <t>Bath</t>
  </si>
  <si>
    <t>2(matching condition: matching, nonmatching) × 3(stimulus type: self, friend, stranger)</t>
  </si>
  <si>
    <t>Hobbs_2023_PM</t>
  </si>
  <si>
    <t>https://researchdata.bath.ac.uk/924/</t>
  </si>
  <si>
    <t>Pt3E1</t>
  </si>
  <si>
    <t>Pt3</t>
  </si>
  <si>
    <t>Fei Wang</t>
  </si>
  <si>
    <t>wf3126@mail.tsinghua.edu.cn</t>
  </si>
  <si>
    <t>Liang et al.</t>
  </si>
  <si>
    <r>
      <rPr>
        <sz val="11"/>
        <color theme="1"/>
        <rFont val="Calibri"/>
        <charset val="134"/>
        <scheme val="minor"/>
      </rPr>
      <t>TMS (</t>
    </r>
    <r>
      <rPr>
        <b/>
        <sz val="11"/>
        <color theme="1"/>
        <rFont val="Calibri"/>
        <charset val="134"/>
        <scheme val="minor"/>
      </rPr>
      <t>Pre</t>
    </r>
    <r>
      <rPr>
        <sz val="11"/>
        <color theme="1"/>
        <rFont val="Calibri"/>
        <charset val="134"/>
        <scheme val="minor"/>
      </rPr>
      <t>; Post)</t>
    </r>
  </si>
  <si>
    <r>
      <rPr>
        <b/>
        <sz val="11"/>
        <color theme="1"/>
        <rFont val="Calibri"/>
        <charset val="134"/>
        <scheme val="minor"/>
      </rPr>
      <t>1 (before TMS)</t>
    </r>
    <r>
      <rPr>
        <sz val="11"/>
        <color theme="1"/>
        <rFont val="Calibri"/>
        <charset val="134"/>
        <scheme val="minor"/>
      </rPr>
      <t>, 2 (after TMS)</t>
    </r>
  </si>
  <si>
    <t>3(TMS group: LpSTS, DLPFC, sham) × 2(Matching condition: matching, nonmatching) × 3(Shape category: self, friend, stranger)</t>
  </si>
  <si>
    <t>Liang_2022_HBM</t>
  </si>
  <si>
    <t>https://osf.io/u9ty6/?view_only=9bdbbaf95f9a4d9c8bc53dd1a29563ae.</t>
  </si>
  <si>
    <t>This is an open access article under the terms of the Creative Commons Attribution-NonCommercial-NoDerivs License, which permits use and distribution in any medium, provided the original work is properly cited, the use is non-commercial and no modifications or adaptations are made.</t>
  </si>
  <si>
    <t>Pt3E2</t>
  </si>
  <si>
    <t>Pt3E3</t>
  </si>
  <si>
    <t>Pt6E1</t>
  </si>
  <si>
    <t>Pt6</t>
  </si>
  <si>
    <t>Michele Vicovaro</t>
  </si>
  <si>
    <t>michele.vicovaro@unipd.it</t>
  </si>
  <si>
    <t>Vicovaro et al.</t>
  </si>
  <si>
    <t>Journal of Experimental Psychology: Human Perception and Performance</t>
  </si>
  <si>
    <t>symmetry: (symmetry; asymmetry)</t>
  </si>
  <si>
    <t>PsychoPy3</t>
  </si>
  <si>
    <t>Italy</t>
  </si>
  <si>
    <t>Padova</t>
  </si>
  <si>
    <t>Italian</t>
  </si>
  <si>
    <t>2matching(matched,nonmatching)*2shape(self-related,stranger-related)*60repetitions</t>
  </si>
  <si>
    <t>random dots</t>
  </si>
  <si>
    <t>Vicovaro_2022_EPHPP</t>
  </si>
  <si>
    <t>https://doi.org/10.17605/OSF.IO/FE3JW</t>
  </si>
  <si>
    <t>Pt6E2</t>
  </si>
  <si>
    <t>0-N;30-m;38-n</t>
  </si>
  <si>
    <t>Pt7E1</t>
  </si>
  <si>
    <t>Pt7</t>
  </si>
  <si>
    <t>Kelsey Perrykkad</t>
  </si>
  <si>
    <t>kelsey.perrykkad@monash.edu</t>
  </si>
  <si>
    <t>Perrykkad et al.</t>
  </si>
  <si>
    <t>BMC Psychology</t>
  </si>
  <si>
    <t>Clayton</t>
  </si>
  <si>
    <t>Perrykkad_2022_BMC</t>
  </si>
  <si>
    <t>https://doi.org/10.26180/20011142</t>
  </si>
  <si>
    <t>Pt9E1</t>
  </si>
  <si>
    <t>Pt9</t>
  </si>
  <si>
    <t>mgwozniak@gmail.com</t>
  </si>
  <si>
    <t>Matlab</t>
  </si>
  <si>
    <t>2(task:standardtaskvs.pseudo-wordstask)*2(trialtype:matching,mismatching)*3(identity:self,friend,none)</t>
  </si>
  <si>
    <t>Wozniak_2022_PR</t>
  </si>
  <si>
    <t>https://osf.io/35wp9</t>
  </si>
  <si>
    <t>Pt9E2</t>
  </si>
  <si>
    <t>Pt9E3</t>
  </si>
  <si>
    <t>Pt10E1</t>
  </si>
  <si>
    <t>Pt10</t>
  </si>
  <si>
    <t>Yongfa Zhang et al.</t>
  </si>
  <si>
    <t>NeuroImage</t>
  </si>
  <si>
    <t>2(matching condition: matching, nonmatching) × 2(shape association: self, stranger)</t>
  </si>
  <si>
    <t>Zhang_2023_NI</t>
  </si>
  <si>
    <t>https://osf.io/hbrus/?view_only=98b2095f72e64fd382fc0d33de3f4497</t>
  </si>
  <si>
    <t>Pt13E1</t>
  </si>
  <si>
    <t>Pt13</t>
  </si>
  <si>
    <t>Kalai Hung</t>
  </si>
  <si>
    <t>hongjl18@mails.tsinghua.edu.cn</t>
  </si>
  <si>
    <t>M Feldborg et al.</t>
  </si>
  <si>
    <t>International Journal of Environmental Research and Public Health</t>
  </si>
  <si>
    <t>UK</t>
  </si>
  <si>
    <t>2(anxiety group: non-anxious, anxious) × 2(person: self, other) × 4(emotion: happy, line, neutral, sad) × 2(matching condition: matching, mismatch)</t>
  </si>
  <si>
    <t>Feldborg_2021_ERPH</t>
  </si>
  <si>
    <t>The data used to support the findings of this study are available from the corresponding author upon request</t>
  </si>
  <si>
    <t>Pt18E1</t>
  </si>
  <si>
    <t>Pt18</t>
  </si>
  <si>
    <t>Jie Sui</t>
  </si>
  <si>
    <t>jie.sui@abdn.ac.uk</t>
  </si>
  <si>
    <t>J Sui et al.</t>
  </si>
  <si>
    <t>Consciousness and Cognition</t>
  </si>
  <si>
    <t>3(ShapeAssociation:self,friend,stranger)*2(MatchingCondition:matching,mismatching)</t>
  </si>
  <si>
    <t>Sui_2023_CC</t>
  </si>
  <si>
    <t>Can be obtained via request</t>
  </si>
  <si>
    <t>Pt27E2</t>
  </si>
  <si>
    <t>Pt27</t>
  </si>
  <si>
    <t>Luis J. Fuentes</t>
  </si>
  <si>
    <t>lfuentes@um.es</t>
  </si>
  <si>
    <t>V Martínez-Pérez et al.</t>
  </si>
  <si>
    <t>E-prime 3</t>
  </si>
  <si>
    <t>Spanish</t>
  </si>
  <si>
    <t>2(match:matching,non-matching)*3(labelcondition:you,friend,stranger)</t>
  </si>
  <si>
    <t>Martinez-Perez_2024_CC</t>
  </si>
  <si>
    <t>https://osf.io/tsvxy/?view_only=4314d303addf4dff9f443bea774a465a</t>
  </si>
  <si>
    <t>Pt28E1</t>
  </si>
  <si>
    <t>Pt28</t>
  </si>
  <si>
    <t>Letizia Amodeo</t>
  </si>
  <si>
    <t>letizia.amodeo@ugent.be</t>
  </si>
  <si>
    <t>L Amodeo et al.</t>
  </si>
  <si>
    <t>Cognitive, Affective, &amp; Behavioral Neuroscience</t>
  </si>
  <si>
    <t>Close-Others</t>
  </si>
  <si>
    <t>Belgium</t>
  </si>
  <si>
    <t>Ghent</t>
  </si>
  <si>
    <t>Dutch</t>
  </si>
  <si>
    <t>2(Group: Autism, Neurotypical) × 2(Trials: Matching, Mismatching) × 3(Person: Self, Close Other, Stranger)</t>
  </si>
  <si>
    <t>Amodeo_2024_CABN</t>
  </si>
  <si>
    <t>https://doi.org/10.3758/s13415-024-01157-0</t>
  </si>
  <si>
    <t>All materials, datasets, and R scripts are available from the corresponding author on reasonable request. The experiment was not preregistered.</t>
  </si>
  <si>
    <t>Pu1E1</t>
  </si>
  <si>
    <t>Pu1</t>
  </si>
  <si>
    <t>Wang et al.</t>
  </si>
  <si>
    <t>3(shape association: self, friend, stranger) × 2(trial type: match, mismatch)</t>
  </si>
  <si>
    <t>Wang_2016_EPHPP</t>
  </si>
  <si>
    <t>http://dx.doi.org/10.1037/xhp0000125</t>
  </si>
  <si>
    <t>CC BY 3.0</t>
  </si>
  <si>
    <t>Pu2E1</t>
  </si>
  <si>
    <t>Pu2</t>
  </si>
  <si>
    <t>Mario Dalmaso</t>
  </si>
  <si>
    <t>mario.dalmaso@unipd.it</t>
  </si>
  <si>
    <t>Mario Dalmaso et al.</t>
  </si>
  <si>
    <t>PsychoPy + MATLAB toolbox</t>
  </si>
  <si>
    <t>Japan</t>
  </si>
  <si>
    <t>N/A</t>
  </si>
  <si>
    <t>Japanese</t>
  </si>
  <si>
    <t>2(Condition:self_Asian vs. self_White)*2(Trials:MatchingnNonmatching)*2(Identity:Self,Other)</t>
  </si>
  <si>
    <t>Dalmaso_2024_CC</t>
  </si>
  <si>
    <t>https://doi.org/10.17605/OSF.IO/XA4H8</t>
  </si>
  <si>
    <t>Pu2E2</t>
  </si>
  <si>
    <t>Pu3E1</t>
  </si>
  <si>
    <t>Pu3</t>
  </si>
  <si>
    <t>d Heather J. Ferguson</t>
  </si>
  <si>
    <t>h.ferguson@kent.ac.uk</t>
  </si>
  <si>
    <t>Smith &amp; Ferguson</t>
  </si>
  <si>
    <t>Cortex</t>
  </si>
  <si>
    <t>Canterbury</t>
  </si>
  <si>
    <t>3(Referent: Self, Friend, Stranger) × 2(Trial type: match, mismatch)</t>
  </si>
  <si>
    <t>Smith_2024_Cortex</t>
  </si>
  <si>
    <t>https://osf.io/br98c/</t>
  </si>
  <si>
    <t>Pu4E1</t>
  </si>
  <si>
    <t>Pu4</t>
  </si>
  <si>
    <t>Neil W. Kirk</t>
  </si>
  <si>
    <t>n.kirk@abertay.ac.uk</t>
  </si>
  <si>
    <t>Neil W. Kirk et al.</t>
  </si>
  <si>
    <t>British Journal of Psycholog</t>
  </si>
  <si>
    <t>Slef</t>
  </si>
  <si>
    <t>2(Trial type: Match, Mismatch) × 3(Voice identity: Self, Friend, Stranger)</t>
  </si>
  <si>
    <t>voice</t>
  </si>
  <si>
    <t>Kirk_2025_BJP</t>
  </si>
  <si>
    <t>https://osf.io/hr96d/</t>
  </si>
  <si>
    <t>Pu4E2</t>
  </si>
  <si>
    <t>3(Own-voice assignment: Self, Friend, Stranger) × 3(Voice identity: Self, Friend, Stranger) × 2(Trial type: Match, Mismatch)</t>
  </si>
  <si>
    <t>Pu5E1</t>
  </si>
  <si>
    <t>Pu5</t>
  </si>
  <si>
    <t>Naomi A. Lee</t>
  </si>
  <si>
    <t>n.lee.20@abdn.ac.uk</t>
  </si>
  <si>
    <t>Lee et al.</t>
  </si>
  <si>
    <t>Cognition</t>
  </si>
  <si>
    <t>4 (Individual association: Self, Friend, Happy, Neutral) × 2 (Condition: Self-Happy/Friend-Neutral vs Self-Neutral/Friend-Happy) within-subjects</t>
  </si>
  <si>
    <t>Lee_2023_Cognition</t>
  </si>
  <si>
    <t>https://osf.io/4k56b/? view_only=6575952710034f5b867f83aebdca9112</t>
  </si>
  <si>
    <t>Pu5E2</t>
  </si>
  <si>
    <t>4 (Individual association: Self, Friend, £9, £1) × 2 (Condition: Self-£9/Friend-£1 vs Self-£1/Friend-£9) within-subjects</t>
  </si>
  <si>
    <t>NA-Participant</t>
  </si>
  <si>
    <t>Pu6E1</t>
  </si>
  <si>
    <t>Pu6</t>
  </si>
  <si>
    <t>Sun_2025</t>
  </si>
  <si>
    <t>https://www.sciengine.com/CSD/doi/10.11922/11-6035.csd.2022.0047.zh</t>
  </si>
  <si>
    <t>Pu7E1</t>
  </si>
  <si>
    <t>Pu7</t>
  </si>
  <si>
    <t>Wozniak_2020_PLOS</t>
  </si>
  <si>
    <t>http://osf.io/2q9w7.</t>
  </si>
  <si>
    <t>Pu8E1</t>
  </si>
  <si>
    <t>Pu8</t>
  </si>
  <si>
    <t>Pan_2025</t>
  </si>
  <si>
    <t>Pu9E1</t>
  </si>
  <si>
    <t>Pu9</t>
  </si>
  <si>
    <t>gabyorellanac@gmail.com</t>
  </si>
  <si>
    <t>2(shape: self-associated vs stranger-associated) × 2(trial: matching vs nonmatching)</t>
  </si>
  <si>
    <t>Orellana-Corrales_2021_APP</t>
  </si>
  <si>
    <t>https://osf.io/g7wrc/</t>
  </si>
  <si>
    <t>Pu9E2</t>
  </si>
  <si>
    <t>2(letter string: self-associated vs stranger-associated) × 2(trial: matching vs nonmatching)</t>
  </si>
  <si>
    <t>https://osf.io/4cwrv/</t>
  </si>
  <si>
    <t>Pu10E1</t>
  </si>
  <si>
    <t>Pu10</t>
  </si>
  <si>
    <t>Svensson_2023_QJEP</t>
  </si>
  <si>
    <t>https://osf.io/zyauc/.</t>
  </si>
  <si>
    <t>Scheller_2024_elife</t>
  </si>
  <si>
    <t>https://osf.io/ehu75</t>
  </si>
  <si>
    <t>Hu_2023_SDB</t>
  </si>
  <si>
    <t>https://doi.org/10.57760/sciencedb.08117</t>
  </si>
  <si>
    <t>Yang_2021_CP</t>
  </si>
  <si>
    <t>Liang_2021_HBM</t>
  </si>
  <si>
    <t>Pt5E1</t>
  </si>
  <si>
    <t>Pt5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</si>
</sst>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sz val="12"/>
      <color theme="1"/>
      <name val="Times New Roman"/>
      <charset val="134"/>
    </font>
    <font>
      <sz val="12"/>
      <color rgb="FF000000"/>
      <name val="Arial"/>
      <charset val="134"/>
    </font>
    <font>
      <sz val="12"/>
      <color theme="1"/>
      <name val="宋体-简"/>
      <charset val="134"/>
    </font>
    <font>
      <u/>
      <sz val="11"/>
      <color rgb="FF0000FF"/>
      <name val="Calibri"/>
      <scheme val="minor"/>
    </font>
    <font>
      <sz val="12"/>
      <color rgb="FF1A2029"/>
      <name val="Times New Roman Regular"/>
      <charset val="134"/>
    </font>
    <font>
      <sz val="11.05"/>
      <color rgb="FF000000"/>
      <name val="Times New Roman"/>
      <charset val="134"/>
    </font>
    <font>
      <sz val="11"/>
      <color rgb="FF000000"/>
      <name val="MyriadPro-Light"/>
      <charset val="134"/>
    </font>
    <font>
      <sz val="10.55"/>
      <color rgb="FF000000"/>
      <name val="CharisSIL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Arial"/>
      <charset val="134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4" fillId="0" borderId="0" xfId="1" applyAlignment="1">
      <alignment horizontal="center" vertical="center"/>
    </xf>
    <xf numFmtId="0" fontId="4" fillId="0" borderId="0" xfId="1">
      <alignment vertical="center"/>
    </xf>
    <xf numFmtId="0" fontId="1" fillId="0" borderId="0" xfId="0" applyFont="1" applyAlignment="1">
      <alignment vertical="center" wrapText="1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1" fillId="4" borderId="0" xfId="0" applyFont="1" applyFill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CE4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osf.io/4srhn/?view_only=70ea4888bf524b598b0d61d04a54d9d9" TargetMode="External"/><Relationship Id="rId21" Type="http://schemas.openxmlformats.org/officeDocument/2006/relationships/hyperlink" Target="https://osf.io/sejw7/" TargetMode="External"/><Relationship Id="rId42" Type="http://schemas.openxmlformats.org/officeDocument/2006/relationships/hyperlink" Target="https://doi.org/10.17605/OSF.IO/FE3JW" TargetMode="External"/><Relationship Id="rId47" Type="http://schemas.openxmlformats.org/officeDocument/2006/relationships/hyperlink" Target="https://osf.io/hbrus/?view_only=98b2095f72e64fd382fc0d33de3f4497" TargetMode="External"/><Relationship Id="rId63" Type="http://schemas.openxmlformats.org/officeDocument/2006/relationships/hyperlink" Target="https://osf.io/4k56b/?%20view_only=6575952710034f5b867f83aebdca9112" TargetMode="External"/><Relationship Id="rId68" Type="http://schemas.openxmlformats.org/officeDocument/2006/relationships/hyperlink" Target="https://osf.io/pcv3u/" TargetMode="External"/><Relationship Id="rId16" Type="http://schemas.openxmlformats.org/officeDocument/2006/relationships/hyperlink" Target="mailto:lfuentes@um.es" TargetMode="External"/><Relationship Id="rId11" Type="http://schemas.openxmlformats.org/officeDocument/2006/relationships/hyperlink" Target="mailto:mayanna@post.bgu.ac.il" TargetMode="External"/><Relationship Id="rId32" Type="http://schemas.openxmlformats.org/officeDocument/2006/relationships/hyperlink" Target="https://osf.io/3ke4f/" TargetMode="External"/><Relationship Id="rId37" Type="http://schemas.openxmlformats.org/officeDocument/2006/relationships/hyperlink" Target="https://osf.io/cj7fp/" TargetMode="External"/><Relationship Id="rId53" Type="http://schemas.openxmlformats.org/officeDocument/2006/relationships/hyperlink" Target="https://doi.org/10.17605/OSF.IO/XA4H8" TargetMode="External"/><Relationship Id="rId58" Type="http://schemas.openxmlformats.org/officeDocument/2006/relationships/hyperlink" Target="mailto:n.kirk@abertay.ac.uk" TargetMode="External"/><Relationship Id="rId74" Type="http://schemas.openxmlformats.org/officeDocument/2006/relationships/hyperlink" Target="https://figshare.com/s/e1391ebe3f11e8d70d9f" TargetMode="External"/><Relationship Id="rId79" Type="http://schemas.openxmlformats.org/officeDocument/2006/relationships/hyperlink" Target="http://dx.doi.org/10.23668/psycharchives.2642" TargetMode="External"/><Relationship Id="rId5" Type="http://schemas.openxmlformats.org/officeDocument/2006/relationships/hyperlink" Target="mailto:merryndconstable@gmail.com" TargetMode="External"/><Relationship Id="rId61" Type="http://schemas.openxmlformats.org/officeDocument/2006/relationships/hyperlink" Target="https://osf.io/u9ty6/?view_only=9bdbbaf95f9a4d9c8bc53dd1a29563ae." TargetMode="External"/><Relationship Id="rId82" Type="http://schemas.openxmlformats.org/officeDocument/2006/relationships/hyperlink" Target="mailto:gabyorellanac@gmail.com" TargetMode="External"/><Relationship Id="rId19" Type="http://schemas.openxmlformats.org/officeDocument/2006/relationships/hyperlink" Target="https://osf.io/sejw7/" TargetMode="External"/><Relationship Id="rId14" Type="http://schemas.openxmlformats.org/officeDocument/2006/relationships/hyperlink" Target="mailto:wf3126@mail.tsinghua.edu.cn" TargetMode="External"/><Relationship Id="rId22" Type="http://schemas.openxmlformats.org/officeDocument/2006/relationships/hyperlink" Target="https://osf.io/sejw7/" TargetMode="External"/><Relationship Id="rId27" Type="http://schemas.openxmlformats.org/officeDocument/2006/relationships/hyperlink" Target="https://osf.io/4srhn/?view_only=70ea4888bf524b598b0d61d04a54d9d9" TargetMode="External"/><Relationship Id="rId30" Type="http://schemas.openxmlformats.org/officeDocument/2006/relationships/hyperlink" Target="https://osf.io/3ke4f/" TargetMode="External"/><Relationship Id="rId35" Type="http://schemas.openxmlformats.org/officeDocument/2006/relationships/hyperlink" Target="https://osf.io/cj7fp/" TargetMode="External"/><Relationship Id="rId43" Type="http://schemas.openxmlformats.org/officeDocument/2006/relationships/hyperlink" Target="https://doi.org/10.26180/20011142" TargetMode="External"/><Relationship Id="rId48" Type="http://schemas.openxmlformats.org/officeDocument/2006/relationships/hyperlink" Target="https://journals.plos.org/plosone/article?id=10.1371/journal.pone.0190679" TargetMode="External"/><Relationship Id="rId56" Type="http://schemas.openxmlformats.org/officeDocument/2006/relationships/hyperlink" Target="https://osf.io/hr96d/" TargetMode="External"/><Relationship Id="rId64" Type="http://schemas.openxmlformats.org/officeDocument/2006/relationships/hyperlink" Target="https://www.sciengine.com/CSD/doi/10.11922/11-6035.csd.2022.0047.zh" TargetMode="External"/><Relationship Id="rId69" Type="http://schemas.openxmlformats.org/officeDocument/2006/relationships/hyperlink" Target="https://osf.io/pcv3u/" TargetMode="External"/><Relationship Id="rId77" Type="http://schemas.openxmlformats.org/officeDocument/2006/relationships/hyperlink" Target="https://doi.org/10.57760/sciencedb.08117" TargetMode="External"/><Relationship Id="rId8" Type="http://schemas.openxmlformats.org/officeDocument/2006/relationships/hyperlink" Target="mailto:mateusz.wozniak@monash.edu" TargetMode="External"/><Relationship Id="rId51" Type="http://schemas.openxmlformats.org/officeDocument/2006/relationships/hyperlink" Target="https://doi.org/10.3758/s13415-024-01157-0" TargetMode="External"/><Relationship Id="rId72" Type="http://schemas.openxmlformats.org/officeDocument/2006/relationships/hyperlink" Target="https://osf.io/zyauc/" TargetMode="External"/><Relationship Id="rId80" Type="http://schemas.openxmlformats.org/officeDocument/2006/relationships/hyperlink" Target="mailto:h.ferguson@kent.ac.uk" TargetMode="External"/><Relationship Id="rId3" Type="http://schemas.openxmlformats.org/officeDocument/2006/relationships/hyperlink" Target="mailto:merryndconstable@gmail.com" TargetMode="External"/><Relationship Id="rId12" Type="http://schemas.openxmlformats.org/officeDocument/2006/relationships/hyperlink" Target="mailto:gabriela.orellana-corrales@uni-tuebingen.de" TargetMode="External"/><Relationship Id="rId17" Type="http://schemas.openxmlformats.org/officeDocument/2006/relationships/hyperlink" Target="https://osf.io/8bktn/" TargetMode="External"/><Relationship Id="rId25" Type="http://schemas.openxmlformats.org/officeDocument/2006/relationships/hyperlink" Target="https://osf.io/khyjq/" TargetMode="External"/><Relationship Id="rId33" Type="http://schemas.openxmlformats.org/officeDocument/2006/relationships/hyperlink" Target="https://osf.io/2juxk/?view_only=b4e01124337a4801b4beb99dbe803b8d" TargetMode="External"/><Relationship Id="rId38" Type="http://schemas.openxmlformats.org/officeDocument/2006/relationships/hyperlink" Target="https://osf.io/4n6j7/" TargetMode="External"/><Relationship Id="rId46" Type="http://schemas.openxmlformats.org/officeDocument/2006/relationships/hyperlink" Target="https://osf.io/35wp9" TargetMode="External"/><Relationship Id="rId59" Type="http://schemas.openxmlformats.org/officeDocument/2006/relationships/hyperlink" Target="https://osf.io/hr96d/" TargetMode="External"/><Relationship Id="rId67" Type="http://schemas.openxmlformats.org/officeDocument/2006/relationships/hyperlink" Target="https://osf.io/bw27c" TargetMode="External"/><Relationship Id="rId20" Type="http://schemas.openxmlformats.org/officeDocument/2006/relationships/hyperlink" Target="https://osf.io/sejw7/" TargetMode="External"/><Relationship Id="rId41" Type="http://schemas.openxmlformats.org/officeDocument/2006/relationships/hyperlink" Target="https://doi.org/10.17605/OSF.IO/FE3JW" TargetMode="External"/><Relationship Id="rId54" Type="http://schemas.openxmlformats.org/officeDocument/2006/relationships/hyperlink" Target="https://osf.io/br98c/" TargetMode="External"/><Relationship Id="rId62" Type="http://schemas.openxmlformats.org/officeDocument/2006/relationships/hyperlink" Target="https://osf.io/4k56b/?%20view_only=6575952710034f5b867f83aebdca9112" TargetMode="External"/><Relationship Id="rId70" Type="http://schemas.openxmlformats.org/officeDocument/2006/relationships/hyperlink" Target="https://osf.io/g7wrc/" TargetMode="External"/><Relationship Id="rId75" Type="http://schemas.openxmlformats.org/officeDocument/2006/relationships/hyperlink" Target="http://dx.doi.org/10.1037/xhp0000125" TargetMode="External"/><Relationship Id="rId83" Type="http://schemas.openxmlformats.org/officeDocument/2006/relationships/hyperlink" Target="mailto:gabyorellanac@gmail.com" TargetMode="External"/><Relationship Id="rId1" Type="http://schemas.openxmlformats.org/officeDocument/2006/relationships/hyperlink" Target="https://link.springer.com/journal/13415" TargetMode="External"/><Relationship Id="rId6" Type="http://schemas.openxmlformats.org/officeDocument/2006/relationships/hyperlink" Target="mailto:gaoxp@shnu.edu.cn." TargetMode="External"/><Relationship Id="rId15" Type="http://schemas.openxmlformats.org/officeDocument/2006/relationships/hyperlink" Target="mailto:jie.sui@abdn.ac.uk" TargetMode="External"/><Relationship Id="rId23" Type="http://schemas.openxmlformats.org/officeDocument/2006/relationships/hyperlink" Target="https://osf.io/5zaej/" TargetMode="External"/><Relationship Id="rId28" Type="http://schemas.openxmlformats.org/officeDocument/2006/relationships/hyperlink" Target="https://osf.io/4srhn/?view_only=70ea4888bf524b598b0d61d04a54d9d9" TargetMode="External"/><Relationship Id="rId36" Type="http://schemas.openxmlformats.org/officeDocument/2006/relationships/hyperlink" Target="https://osf.io/cj7fp/" TargetMode="External"/><Relationship Id="rId49" Type="http://schemas.openxmlformats.org/officeDocument/2006/relationships/hyperlink" Target="https://journals.plos.org/plosone/article?id=10.1371/journal.pone.0190679" TargetMode="External"/><Relationship Id="rId57" Type="http://schemas.openxmlformats.org/officeDocument/2006/relationships/hyperlink" Target="mailto:jie.sui@abdn.ac.uk" TargetMode="External"/><Relationship Id="rId10" Type="http://schemas.openxmlformats.org/officeDocument/2006/relationships/hyperlink" Target="mailto:marius.golubickis@plymouth.ac.uk" TargetMode="External"/><Relationship Id="rId31" Type="http://schemas.openxmlformats.org/officeDocument/2006/relationships/hyperlink" Target="https://osf.io/3ke4f/" TargetMode="External"/><Relationship Id="rId44" Type="http://schemas.openxmlformats.org/officeDocument/2006/relationships/hyperlink" Target="https://osf.io/35wp9" TargetMode="External"/><Relationship Id="rId52" Type="http://schemas.openxmlformats.org/officeDocument/2006/relationships/hyperlink" Target="https://doi.org/10.17605/OSF.IO/XA4H8" TargetMode="External"/><Relationship Id="rId60" Type="http://schemas.openxmlformats.org/officeDocument/2006/relationships/hyperlink" Target="https://osf.io/u9ty6/?view_only=9bdbbaf95f9a4d9c8bc53dd1a29563ae." TargetMode="External"/><Relationship Id="rId65" Type="http://schemas.openxmlformats.org/officeDocument/2006/relationships/hyperlink" Target="http://osf.io/2q9w7." TargetMode="External"/><Relationship Id="rId73" Type="http://schemas.openxmlformats.org/officeDocument/2006/relationships/hyperlink" Target="http://dx.doi.org/10.23668/psycharchives.2642" TargetMode="External"/><Relationship Id="rId78" Type="http://schemas.openxmlformats.org/officeDocument/2006/relationships/hyperlink" Target="http://dx.doi.org/10.23668/psycharchives.2642" TargetMode="External"/><Relationship Id="rId81" Type="http://schemas.openxmlformats.org/officeDocument/2006/relationships/hyperlink" Target="https://osf.io/khyjq/" TargetMode="External"/><Relationship Id="rId4" Type="http://schemas.openxmlformats.org/officeDocument/2006/relationships/hyperlink" Target="mailto:hcp4715@gmail.com" TargetMode="External"/><Relationship Id="rId9" Type="http://schemas.openxmlformats.org/officeDocument/2006/relationships/hyperlink" Target="mailto:skumar@brookes.ac.uk" TargetMode="External"/><Relationship Id="rId13" Type="http://schemas.openxmlformats.org/officeDocument/2006/relationships/hyperlink" Target="mailto:hcp4715@gmail.com" TargetMode="External"/><Relationship Id="rId18" Type="http://schemas.openxmlformats.org/officeDocument/2006/relationships/hyperlink" Target="https://osf.io/8bktn/" TargetMode="External"/><Relationship Id="rId39" Type="http://schemas.openxmlformats.org/officeDocument/2006/relationships/hyperlink" Target="https://zenodo.org/records/8031086" TargetMode="External"/><Relationship Id="rId34" Type="http://schemas.openxmlformats.org/officeDocument/2006/relationships/hyperlink" Target="https://researchdata.bath.ac.uk/924/" TargetMode="External"/><Relationship Id="rId50" Type="http://schemas.openxmlformats.org/officeDocument/2006/relationships/hyperlink" Target="https://osf.io/tsvxy/?view_only=4314d303addf4dff9f443bea774a465a" TargetMode="External"/><Relationship Id="rId55" Type="http://schemas.openxmlformats.org/officeDocument/2006/relationships/hyperlink" Target="mailto:n.kirk@abertay.ac.uk" TargetMode="External"/><Relationship Id="rId76" Type="http://schemas.openxmlformats.org/officeDocument/2006/relationships/hyperlink" Target="https://osf.io/ehu75" TargetMode="External"/><Relationship Id="rId7" Type="http://schemas.openxmlformats.org/officeDocument/2006/relationships/hyperlink" Target="mailto:schaefers@uni-trier.de" TargetMode="External"/><Relationship Id="rId71" Type="http://schemas.openxmlformats.org/officeDocument/2006/relationships/hyperlink" Target="https://osf.io/4cwrv/" TargetMode="External"/><Relationship Id="rId2" Type="http://schemas.openxmlformats.org/officeDocument/2006/relationships/hyperlink" Target="mailto:merryndconstable@gmail.com" TargetMode="External"/><Relationship Id="rId29" Type="http://schemas.openxmlformats.org/officeDocument/2006/relationships/hyperlink" Target="https://osf.io/4srhn/?view_only=70ea4888bf524b598b0d61d04a54d9d9" TargetMode="External"/><Relationship Id="rId24" Type="http://schemas.openxmlformats.org/officeDocument/2006/relationships/hyperlink" Target="https://osf.io/4zvkm/" TargetMode="External"/><Relationship Id="rId40" Type="http://schemas.openxmlformats.org/officeDocument/2006/relationships/hyperlink" Target="https://osf.io/u9ty6/?view_only=9bdbbaf95f9a4d9c8bc53dd1a29563ae." TargetMode="External"/><Relationship Id="rId45" Type="http://schemas.openxmlformats.org/officeDocument/2006/relationships/hyperlink" Target="https://osf.io/35wp9" TargetMode="External"/><Relationship Id="rId66" Type="http://schemas.openxmlformats.org/officeDocument/2006/relationships/hyperlink" Target="https://osf.io/bw27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J77"/>
  <sheetViews>
    <sheetView tabSelected="1" zoomScale="115" zoomScaleNormal="115" workbookViewId="0">
      <pane xSplit="5" ySplit="1" topLeftCell="AI66" activePane="bottomRight" state="frozen"/>
      <selection pane="topRight" activeCell="F1" sqref="F1"/>
      <selection pane="bottomLeft" activeCell="A2" sqref="A2"/>
      <selection pane="bottomRight" activeCell="AJ12" sqref="AJ12"/>
    </sheetView>
  </sheetViews>
  <sheetFormatPr baseColWidth="10" defaultColWidth="9" defaultRowHeight="15"/>
  <cols>
    <col min="1" max="1" width="20" customWidth="1"/>
    <col min="2" max="2" width="7.83203125" customWidth="1"/>
    <col min="3" max="3" width="13.33203125" customWidth="1"/>
    <col min="4" max="4" width="10.83203125" customWidth="1"/>
    <col min="5" max="5" width="10.1640625" customWidth="1"/>
    <col min="6" max="6" width="13.1640625" customWidth="1"/>
    <col min="7" max="7" width="17.33203125" customWidth="1"/>
    <col min="8" max="8" width="15.1640625" customWidth="1"/>
    <col min="9" max="9" width="24.5" customWidth="1"/>
    <col min="10" max="10" width="40" style="2" customWidth="1"/>
    <col min="11" max="11" width="23.33203125" style="2" customWidth="1"/>
    <col min="12" max="12" width="9" style="2" customWidth="1"/>
    <col min="13" max="13" width="67" style="2" customWidth="1"/>
    <col min="14" max="14" width="7.5" customWidth="1"/>
    <col min="15" max="16" width="9" customWidth="1"/>
    <col min="17" max="17" width="20" customWidth="1"/>
    <col min="18" max="18" width="21.5" customWidth="1"/>
    <col min="19" max="19" width="17.83203125" customWidth="1"/>
    <col min="20" max="20" width="14.1640625" customWidth="1"/>
    <col min="21" max="21" width="12.83203125" customWidth="1"/>
    <col min="22" max="22" width="13.1640625" customWidth="1"/>
    <col min="23" max="23" width="41.6640625" customWidth="1"/>
    <col min="24" max="24" width="29" customWidth="1"/>
    <col min="25" max="25" width="28.33203125" style="5" customWidth="1"/>
    <col min="26" max="26" width="14.5" customWidth="1"/>
    <col min="27" max="27" width="17.5" customWidth="1"/>
    <col min="28" max="28" width="14.5" customWidth="1"/>
    <col min="29" max="29" width="11.6640625" customWidth="1"/>
    <col min="30" max="30" width="11.1640625" customWidth="1"/>
    <col min="31" max="31" width="12.83203125" customWidth="1"/>
    <col min="32" max="32" width="12.6640625" customWidth="1"/>
    <col min="33" max="33" width="7.5" customWidth="1"/>
    <col min="34" max="34" width="132.1640625" customWidth="1"/>
    <col min="35" max="36" width="25.6640625" customWidth="1"/>
    <col min="37" max="37" width="73.83203125" customWidth="1"/>
    <col min="38" max="38" width="68.6640625" customWidth="1"/>
  </cols>
  <sheetData>
    <row r="1" spans="1:296" s="2" customFormat="1" ht="16">
      <c r="A1" s="2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2" t="s">
        <v>34</v>
      </c>
      <c r="AK1" s="2" t="s">
        <v>35</v>
      </c>
      <c r="AL1" s="2" t="s">
        <v>36</v>
      </c>
    </row>
    <row r="2" spans="1:296" ht="19">
      <c r="A2" s="3" t="s">
        <v>37</v>
      </c>
      <c r="B2" s="3">
        <v>1</v>
      </c>
      <c r="C2" s="3" t="s">
        <v>38</v>
      </c>
      <c r="D2" s="3" t="s">
        <v>39</v>
      </c>
      <c r="E2" s="6" t="s">
        <v>40</v>
      </c>
      <c r="F2" s="7">
        <v>1</v>
      </c>
      <c r="G2" s="8">
        <v>0</v>
      </c>
      <c r="H2" s="8">
        <v>0</v>
      </c>
      <c r="I2" s="18" t="s">
        <v>41</v>
      </c>
      <c r="J2" s="20" t="s">
        <v>42</v>
      </c>
      <c r="K2" s="18" t="s">
        <v>43</v>
      </c>
      <c r="L2" s="18">
        <v>2019</v>
      </c>
      <c r="M2" s="18" t="s">
        <v>44</v>
      </c>
      <c r="N2" s="3">
        <v>1</v>
      </c>
      <c r="O2" s="3">
        <v>1</v>
      </c>
      <c r="P2" s="3" t="s">
        <v>14</v>
      </c>
      <c r="Q2" s="3" t="s">
        <v>45</v>
      </c>
      <c r="R2" s="3" t="s">
        <v>46</v>
      </c>
      <c r="S2" s="3">
        <v>20</v>
      </c>
      <c r="T2" s="3" t="s">
        <v>47</v>
      </c>
      <c r="U2" s="3">
        <v>96</v>
      </c>
      <c r="V2" s="3">
        <v>3</v>
      </c>
      <c r="W2" s="3"/>
      <c r="X2" s="3"/>
      <c r="Y2" s="3"/>
      <c r="Z2" s="3" t="s">
        <v>48</v>
      </c>
      <c r="AA2" s="3" t="s">
        <v>49</v>
      </c>
      <c r="AB2" s="3" t="s">
        <v>50</v>
      </c>
      <c r="AC2" s="3">
        <v>28</v>
      </c>
      <c r="AD2" s="3">
        <v>12</v>
      </c>
      <c r="AE2" s="3">
        <v>16</v>
      </c>
      <c r="AF2" s="3">
        <v>0</v>
      </c>
      <c r="AG2" s="3">
        <f>AC2-AF2</f>
        <v>28</v>
      </c>
      <c r="AH2" s="3" t="s">
        <v>51</v>
      </c>
      <c r="AI2" s="3" t="s">
        <v>52</v>
      </c>
      <c r="AJ2" s="3" t="s">
        <v>53</v>
      </c>
      <c r="AK2" s="10" t="s">
        <v>54</v>
      </c>
      <c r="AL2" s="3" t="s">
        <v>55</v>
      </c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</row>
    <row r="3" spans="1:296" ht="19">
      <c r="A3" s="3" t="s">
        <v>37</v>
      </c>
      <c r="B3" s="3">
        <v>2</v>
      </c>
      <c r="C3" s="3" t="s">
        <v>56</v>
      </c>
      <c r="D3" s="3" t="s">
        <v>39</v>
      </c>
      <c r="E3" s="6" t="s">
        <v>40</v>
      </c>
      <c r="F3" s="7">
        <v>1</v>
      </c>
      <c r="G3" s="8">
        <v>0</v>
      </c>
      <c r="H3" s="8">
        <v>0</v>
      </c>
      <c r="I3" s="18"/>
      <c r="J3" s="20"/>
      <c r="K3" s="18"/>
      <c r="L3" s="18"/>
      <c r="M3" s="18"/>
      <c r="N3" s="3">
        <v>2</v>
      </c>
      <c r="O3" s="3">
        <v>2</v>
      </c>
      <c r="P3" s="3" t="s">
        <v>14</v>
      </c>
      <c r="Q3" s="3" t="s">
        <v>45</v>
      </c>
      <c r="R3" s="3" t="s">
        <v>46</v>
      </c>
      <c r="S3" s="3">
        <v>20</v>
      </c>
      <c r="T3" s="3" t="s">
        <v>47</v>
      </c>
      <c r="U3" s="3">
        <v>96</v>
      </c>
      <c r="V3" s="3">
        <v>3</v>
      </c>
      <c r="W3" s="3"/>
      <c r="X3" s="3"/>
      <c r="Y3" s="3"/>
      <c r="Z3" s="3" t="s">
        <v>48</v>
      </c>
      <c r="AA3" s="3" t="s">
        <v>49</v>
      </c>
      <c r="AB3" s="3" t="s">
        <v>50</v>
      </c>
      <c r="AC3" s="3">
        <v>28</v>
      </c>
      <c r="AD3" s="3">
        <v>6</v>
      </c>
      <c r="AE3" s="3">
        <v>22</v>
      </c>
      <c r="AF3" s="3">
        <v>0</v>
      </c>
      <c r="AG3" s="3">
        <f>AC3-AF3</f>
        <v>28</v>
      </c>
      <c r="AH3" s="3" t="s">
        <v>51</v>
      </c>
      <c r="AI3" s="3" t="s">
        <v>52</v>
      </c>
      <c r="AJ3" s="3" t="s">
        <v>53</v>
      </c>
      <c r="AK3" s="10" t="s">
        <v>54</v>
      </c>
      <c r="AL3" s="3" t="s">
        <v>55</v>
      </c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  <c r="IU3" s="3"/>
      <c r="IV3" s="3"/>
      <c r="IW3" s="3"/>
      <c r="IX3" s="3"/>
      <c r="IY3" s="3"/>
      <c r="IZ3" s="3"/>
      <c r="JA3" s="3"/>
      <c r="JB3" s="3"/>
      <c r="JC3" s="3"/>
      <c r="JD3" s="3"/>
      <c r="JE3" s="3"/>
      <c r="JF3" s="3"/>
      <c r="JG3" s="3"/>
      <c r="JH3" s="3"/>
      <c r="JI3" s="3"/>
      <c r="JJ3" s="3"/>
      <c r="JK3" s="3"/>
      <c r="JL3" s="3"/>
      <c r="JM3" s="3"/>
      <c r="JN3" s="3"/>
      <c r="JO3" s="3"/>
      <c r="JP3" s="3"/>
      <c r="JQ3" s="3"/>
      <c r="JR3" s="3"/>
      <c r="JS3" s="3"/>
      <c r="JT3" s="3"/>
      <c r="JU3" s="3"/>
      <c r="JV3" s="3"/>
      <c r="JW3" s="3"/>
      <c r="JX3" s="3"/>
      <c r="JY3" s="3"/>
      <c r="JZ3" s="3"/>
      <c r="KA3" s="3"/>
      <c r="KB3" s="3"/>
      <c r="KC3" s="3"/>
      <c r="KD3" s="3"/>
      <c r="KE3" s="3"/>
      <c r="KF3" s="3"/>
      <c r="KG3" s="3"/>
      <c r="KH3" s="3"/>
      <c r="KI3" s="3"/>
      <c r="KJ3" s="3"/>
    </row>
    <row r="4" spans="1:296" ht="19">
      <c r="A4" s="3" t="s">
        <v>37</v>
      </c>
      <c r="B4" s="3">
        <v>3</v>
      </c>
      <c r="C4" s="3" t="s">
        <v>57</v>
      </c>
      <c r="D4" s="3" t="s">
        <v>39</v>
      </c>
      <c r="E4" s="6" t="s">
        <v>40</v>
      </c>
      <c r="F4" s="7">
        <v>1</v>
      </c>
      <c r="G4" s="8">
        <v>0</v>
      </c>
      <c r="H4" s="8">
        <v>0</v>
      </c>
      <c r="I4" s="18"/>
      <c r="J4" s="20"/>
      <c r="K4" s="18"/>
      <c r="L4" s="18"/>
      <c r="M4" s="18"/>
      <c r="N4" s="3">
        <v>3</v>
      </c>
      <c r="O4" s="3">
        <v>3</v>
      </c>
      <c r="P4" s="3" t="s">
        <v>14</v>
      </c>
      <c r="Q4" s="3" t="s">
        <v>45</v>
      </c>
      <c r="R4" s="3" t="s">
        <v>46</v>
      </c>
      <c r="S4" s="3">
        <v>20</v>
      </c>
      <c r="T4" s="3" t="s">
        <v>47</v>
      </c>
      <c r="U4" s="3">
        <v>96</v>
      </c>
      <c r="V4" s="3">
        <v>3</v>
      </c>
      <c r="W4" s="3"/>
      <c r="X4" s="3"/>
      <c r="Y4" s="3"/>
      <c r="Z4" s="3" t="s">
        <v>48</v>
      </c>
      <c r="AA4" s="3" t="s">
        <v>49</v>
      </c>
      <c r="AB4" s="3" t="s">
        <v>50</v>
      </c>
      <c r="AC4" s="3">
        <v>28</v>
      </c>
      <c r="AD4" s="3">
        <v>8</v>
      </c>
      <c r="AE4" s="3">
        <v>14</v>
      </c>
      <c r="AF4" s="3">
        <v>0</v>
      </c>
      <c r="AG4" s="3">
        <f>AC4-AF4</f>
        <v>28</v>
      </c>
      <c r="AH4" s="3" t="s">
        <v>51</v>
      </c>
      <c r="AI4" s="3" t="s">
        <v>52</v>
      </c>
      <c r="AJ4" s="3" t="s">
        <v>53</v>
      </c>
      <c r="AK4" s="10" t="s">
        <v>54</v>
      </c>
      <c r="AL4" s="3" t="s">
        <v>55</v>
      </c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  <c r="IX4" s="3"/>
      <c r="IY4" s="3"/>
      <c r="IZ4" s="3"/>
      <c r="JA4" s="3"/>
      <c r="JB4" s="3"/>
      <c r="JC4" s="3"/>
      <c r="JD4" s="3"/>
      <c r="JE4" s="3"/>
      <c r="JF4" s="3"/>
      <c r="JG4" s="3"/>
      <c r="JH4" s="3"/>
      <c r="JI4" s="3"/>
      <c r="JJ4" s="3"/>
      <c r="JK4" s="3"/>
      <c r="JL4" s="3"/>
      <c r="JM4" s="3"/>
      <c r="JN4" s="3"/>
      <c r="JO4" s="3"/>
      <c r="JP4" s="3"/>
      <c r="JQ4" s="3"/>
      <c r="JR4" s="3"/>
      <c r="JS4" s="3"/>
      <c r="JT4" s="3"/>
      <c r="JU4" s="3"/>
      <c r="JV4" s="3"/>
      <c r="JW4" s="3"/>
      <c r="JX4" s="3"/>
      <c r="JY4" s="3"/>
      <c r="JZ4" s="3"/>
      <c r="KA4" s="3"/>
      <c r="KB4" s="3"/>
      <c r="KC4" s="3"/>
      <c r="KD4" s="3"/>
      <c r="KE4" s="3"/>
      <c r="KF4" s="3"/>
      <c r="KG4" s="3"/>
      <c r="KH4" s="3"/>
      <c r="KI4" s="3"/>
      <c r="KJ4" s="3"/>
    </row>
    <row r="5" spans="1:296" ht="19">
      <c r="A5" s="3" t="s">
        <v>37</v>
      </c>
      <c r="B5" s="3">
        <v>4</v>
      </c>
      <c r="C5" s="3" t="s">
        <v>58</v>
      </c>
      <c r="D5" s="3" t="s">
        <v>39</v>
      </c>
      <c r="E5" s="6" t="s">
        <v>40</v>
      </c>
      <c r="F5" s="7">
        <v>1</v>
      </c>
      <c r="G5" s="8">
        <v>0</v>
      </c>
      <c r="H5" s="8">
        <v>0</v>
      </c>
      <c r="I5" s="18"/>
      <c r="J5" s="20"/>
      <c r="K5" s="18"/>
      <c r="L5" s="18"/>
      <c r="M5" s="18"/>
      <c r="N5" s="3">
        <v>4</v>
      </c>
      <c r="O5" s="3">
        <v>4</v>
      </c>
      <c r="P5" s="3" t="s">
        <v>59</v>
      </c>
      <c r="Q5" s="3" t="s">
        <v>60</v>
      </c>
      <c r="R5" s="3" t="s">
        <v>61</v>
      </c>
      <c r="S5" s="3">
        <v>50</v>
      </c>
      <c r="T5" s="3" t="s">
        <v>47</v>
      </c>
      <c r="U5" s="3">
        <v>80</v>
      </c>
      <c r="V5" s="3">
        <v>8</v>
      </c>
      <c r="W5" s="3"/>
      <c r="X5" s="3"/>
      <c r="Y5" s="3"/>
      <c r="Z5" s="3" t="s">
        <v>48</v>
      </c>
      <c r="AA5" s="3" t="s">
        <v>49</v>
      </c>
      <c r="AB5" s="3" t="s">
        <v>62</v>
      </c>
      <c r="AC5" s="3">
        <v>40</v>
      </c>
      <c r="AD5" s="3">
        <v>14</v>
      </c>
      <c r="AE5" s="3">
        <v>14</v>
      </c>
      <c r="AF5" s="3">
        <v>0</v>
      </c>
      <c r="AG5" s="3">
        <f>AC5-AF5</f>
        <v>40</v>
      </c>
      <c r="AH5" s="3" t="s">
        <v>51</v>
      </c>
      <c r="AI5" s="3" t="s">
        <v>52</v>
      </c>
      <c r="AJ5" s="3" t="s">
        <v>53</v>
      </c>
      <c r="AK5" s="10" t="s">
        <v>54</v>
      </c>
      <c r="AL5" s="3" t="s">
        <v>55</v>
      </c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  <c r="IX5" s="3"/>
      <c r="IY5" s="3"/>
      <c r="IZ5" s="3"/>
      <c r="JA5" s="3"/>
      <c r="JB5" s="3"/>
      <c r="JC5" s="3"/>
      <c r="JD5" s="3"/>
      <c r="JE5" s="3"/>
      <c r="JF5" s="3"/>
      <c r="JG5" s="3"/>
      <c r="JH5" s="3"/>
      <c r="JI5" s="3"/>
      <c r="JJ5" s="3"/>
      <c r="JK5" s="3"/>
      <c r="JL5" s="3"/>
      <c r="JM5" s="3"/>
      <c r="JN5" s="3"/>
      <c r="JO5" s="3"/>
      <c r="JP5" s="3"/>
      <c r="JQ5" s="3"/>
      <c r="JR5" s="3"/>
      <c r="JS5" s="3"/>
      <c r="JT5" s="3"/>
      <c r="JU5" s="3"/>
      <c r="JV5" s="3"/>
      <c r="JW5" s="3"/>
      <c r="JX5" s="3"/>
      <c r="JY5" s="3"/>
      <c r="JZ5" s="3"/>
      <c r="KA5" s="3"/>
      <c r="KB5" s="3"/>
      <c r="KC5" s="3"/>
      <c r="KD5" s="3"/>
      <c r="KE5" s="3"/>
      <c r="KF5" s="3"/>
      <c r="KG5" s="3"/>
      <c r="KH5" s="3"/>
      <c r="KI5" s="3"/>
      <c r="KJ5" s="3"/>
    </row>
    <row r="6" spans="1:296" ht="18" customHeight="1">
      <c r="A6" s="3" t="s">
        <v>37</v>
      </c>
      <c r="B6" s="3">
        <v>5</v>
      </c>
      <c r="C6" s="3" t="s">
        <v>63</v>
      </c>
      <c r="D6" s="3" t="s">
        <v>64</v>
      </c>
      <c r="E6" s="6" t="s">
        <v>40</v>
      </c>
      <c r="F6" s="7">
        <v>1</v>
      </c>
      <c r="G6" s="8">
        <v>0</v>
      </c>
      <c r="H6" s="8">
        <v>0</v>
      </c>
      <c r="I6" s="1" t="s">
        <v>41</v>
      </c>
      <c r="J6" s="9" t="s">
        <v>42</v>
      </c>
      <c r="K6" s="1" t="s">
        <v>65</v>
      </c>
      <c r="L6" s="1">
        <v>2020</v>
      </c>
      <c r="M6" s="1" t="s">
        <v>66</v>
      </c>
      <c r="N6" s="3">
        <v>1</v>
      </c>
      <c r="O6" s="3">
        <v>1</v>
      </c>
      <c r="P6" s="3" t="s">
        <v>14</v>
      </c>
      <c r="Q6" s="3" t="s">
        <v>67</v>
      </c>
      <c r="R6" s="3" t="s">
        <v>68</v>
      </c>
      <c r="S6" s="3">
        <v>24</v>
      </c>
      <c r="T6" s="3" t="s">
        <v>47</v>
      </c>
      <c r="U6" s="3">
        <v>240</v>
      </c>
      <c r="V6" s="3">
        <v>4</v>
      </c>
      <c r="W6" s="3" t="s">
        <v>69</v>
      </c>
      <c r="X6" s="3" t="s">
        <v>70</v>
      </c>
      <c r="Y6" s="3"/>
      <c r="Z6" s="3" t="s">
        <v>71</v>
      </c>
      <c r="AA6" s="3" t="s">
        <v>72</v>
      </c>
      <c r="AB6" s="3" t="s">
        <v>50</v>
      </c>
      <c r="AC6" s="3">
        <v>92</v>
      </c>
      <c r="AD6" s="3">
        <v>19</v>
      </c>
      <c r="AE6" s="3">
        <v>73</v>
      </c>
      <c r="AF6" s="3">
        <v>0</v>
      </c>
      <c r="AG6" s="3">
        <f>AC6-AF6</f>
        <v>92</v>
      </c>
      <c r="AH6" s="11" t="s">
        <v>73</v>
      </c>
      <c r="AI6" s="3" t="s">
        <v>52</v>
      </c>
      <c r="AJ6" s="3" t="s">
        <v>74</v>
      </c>
      <c r="AK6" s="10" t="s">
        <v>75</v>
      </c>
      <c r="AL6" s="3" t="s">
        <v>55</v>
      </c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  <c r="IX6" s="3"/>
      <c r="IY6" s="3"/>
      <c r="IZ6" s="3"/>
      <c r="JA6" s="3"/>
      <c r="JB6" s="3"/>
      <c r="JC6" s="3"/>
      <c r="JD6" s="3"/>
      <c r="JE6" s="3"/>
      <c r="JF6" s="3"/>
      <c r="JG6" s="3"/>
      <c r="JH6" s="3"/>
      <c r="JI6" s="3"/>
      <c r="JJ6" s="3"/>
      <c r="JK6" s="3"/>
      <c r="JL6" s="3"/>
      <c r="JM6" s="3"/>
      <c r="JN6" s="3"/>
      <c r="JO6" s="3"/>
      <c r="JP6" s="3"/>
      <c r="JQ6" s="3"/>
      <c r="JR6" s="3"/>
      <c r="JS6" s="3"/>
      <c r="JT6" s="3"/>
      <c r="JU6" s="3"/>
      <c r="JV6" s="3"/>
      <c r="JW6" s="3"/>
      <c r="JX6" s="3"/>
      <c r="JY6" s="3"/>
      <c r="JZ6" s="3"/>
      <c r="KA6" s="3"/>
      <c r="KB6" s="3"/>
      <c r="KC6" s="3"/>
      <c r="KD6" s="3"/>
      <c r="KE6" s="3"/>
      <c r="KF6" s="3"/>
      <c r="KG6" s="3"/>
      <c r="KH6" s="3"/>
      <c r="KI6" s="3"/>
      <c r="KJ6" s="3"/>
    </row>
    <row r="7" spans="1:296" ht="19">
      <c r="A7" s="3"/>
      <c r="B7" s="3">
        <v>6</v>
      </c>
      <c r="C7" s="3" t="s">
        <v>76</v>
      </c>
      <c r="D7" s="3" t="s">
        <v>77</v>
      </c>
      <c r="E7" s="6"/>
      <c r="F7" s="7">
        <v>1</v>
      </c>
      <c r="G7" s="8">
        <v>1</v>
      </c>
      <c r="H7" s="8">
        <v>0</v>
      </c>
      <c r="I7" s="18" t="s">
        <v>78</v>
      </c>
      <c r="J7" s="20" t="s">
        <v>79</v>
      </c>
      <c r="K7" s="18" t="s">
        <v>80</v>
      </c>
      <c r="L7" s="18">
        <v>2021</v>
      </c>
      <c r="M7" s="18" t="s">
        <v>66</v>
      </c>
      <c r="N7" s="3">
        <v>1</v>
      </c>
      <c r="O7" s="3">
        <v>1</v>
      </c>
      <c r="P7" s="3" t="s">
        <v>14</v>
      </c>
      <c r="Q7" s="3" t="s">
        <v>81</v>
      </c>
      <c r="R7" s="3" t="s">
        <v>68</v>
      </c>
      <c r="S7" s="3">
        <v>12</v>
      </c>
      <c r="T7" s="3">
        <v>1</v>
      </c>
      <c r="U7" s="3">
        <v>180</v>
      </c>
      <c r="V7" s="3">
        <v>3</v>
      </c>
      <c r="W7" s="3" t="s">
        <v>82</v>
      </c>
      <c r="X7" s="3" t="s">
        <v>83</v>
      </c>
      <c r="Y7" s="3" t="s">
        <v>84</v>
      </c>
      <c r="Z7" s="3" t="s">
        <v>85</v>
      </c>
      <c r="AA7" s="3" t="s">
        <v>86</v>
      </c>
      <c r="AB7" s="3" t="s">
        <v>62</v>
      </c>
      <c r="AC7" s="3">
        <v>132</v>
      </c>
      <c r="AD7" s="3">
        <v>0</v>
      </c>
      <c r="AE7" s="3">
        <v>132</v>
      </c>
      <c r="AF7" s="3">
        <v>42</v>
      </c>
      <c r="AG7" s="3">
        <v>90</v>
      </c>
      <c r="AH7" s="11" t="s">
        <v>87</v>
      </c>
      <c r="AI7" s="3" t="s">
        <v>52</v>
      </c>
      <c r="AJ7" s="3" t="s">
        <v>88</v>
      </c>
      <c r="AK7" s="10" t="s">
        <v>89</v>
      </c>
      <c r="AL7" s="3" t="s">
        <v>90</v>
      </c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</row>
    <row r="8" spans="1:296" ht="19">
      <c r="A8" s="3"/>
      <c r="B8" s="3">
        <v>7</v>
      </c>
      <c r="C8" s="3" t="s">
        <v>91</v>
      </c>
      <c r="D8" s="3" t="s">
        <v>77</v>
      </c>
      <c r="E8" s="6"/>
      <c r="F8" s="7">
        <v>1</v>
      </c>
      <c r="G8" s="8">
        <v>1</v>
      </c>
      <c r="H8" s="8">
        <v>0</v>
      </c>
      <c r="I8" s="18"/>
      <c r="J8" s="20"/>
      <c r="K8" s="18"/>
      <c r="L8" s="18"/>
      <c r="M8" s="18"/>
      <c r="N8" s="3">
        <v>2</v>
      </c>
      <c r="O8" s="3">
        <v>2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85</v>
      </c>
      <c r="AA8" s="3" t="s">
        <v>86</v>
      </c>
      <c r="AB8" s="3" t="s">
        <v>62</v>
      </c>
      <c r="AC8" s="3">
        <v>111</v>
      </c>
      <c r="AD8" s="3">
        <v>0</v>
      </c>
      <c r="AE8" s="3">
        <v>111</v>
      </c>
      <c r="AF8" s="3">
        <v>2</v>
      </c>
      <c r="AG8" s="3">
        <v>109</v>
      </c>
      <c r="AH8" s="3" t="s">
        <v>87</v>
      </c>
      <c r="AI8" s="3" t="s">
        <v>52</v>
      </c>
      <c r="AJ8" s="3" t="s">
        <v>88</v>
      </c>
      <c r="AK8" s="10" t="s">
        <v>89</v>
      </c>
      <c r="AL8" s="3" t="s">
        <v>90</v>
      </c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  <c r="IY8" s="3"/>
      <c r="IZ8" s="3"/>
      <c r="JA8" s="3"/>
      <c r="JB8" s="3"/>
      <c r="JC8" s="3"/>
      <c r="JD8" s="3"/>
      <c r="JE8" s="3"/>
      <c r="JF8" s="3"/>
      <c r="JG8" s="3"/>
      <c r="JH8" s="3"/>
      <c r="JI8" s="3"/>
      <c r="JJ8" s="3"/>
      <c r="JK8" s="3"/>
      <c r="JL8" s="3"/>
      <c r="JM8" s="3"/>
      <c r="JN8" s="3"/>
      <c r="JO8" s="3"/>
      <c r="JP8" s="3"/>
      <c r="JQ8" s="3"/>
      <c r="JR8" s="3"/>
      <c r="JS8" s="3"/>
      <c r="JT8" s="3"/>
      <c r="JU8" s="3"/>
      <c r="JV8" s="3"/>
      <c r="JW8" s="3"/>
      <c r="JX8" s="3"/>
      <c r="JY8" s="3"/>
      <c r="JZ8" s="3"/>
      <c r="KA8" s="3"/>
      <c r="KB8" s="3"/>
      <c r="KC8" s="3"/>
      <c r="KD8" s="3"/>
      <c r="KE8" s="3"/>
      <c r="KF8" s="3"/>
      <c r="KG8" s="3"/>
      <c r="KH8" s="3"/>
      <c r="KI8" s="3"/>
      <c r="KJ8" s="3"/>
    </row>
    <row r="9" spans="1:296" ht="19">
      <c r="A9" s="3"/>
      <c r="B9" s="3">
        <v>8</v>
      </c>
      <c r="C9" s="3" t="s">
        <v>92</v>
      </c>
      <c r="D9" s="3" t="s">
        <v>93</v>
      </c>
      <c r="E9" s="6" t="s">
        <v>40</v>
      </c>
      <c r="F9" s="7">
        <v>1</v>
      </c>
      <c r="G9" s="8">
        <v>0</v>
      </c>
      <c r="H9" s="8">
        <v>0</v>
      </c>
      <c r="I9" s="1" t="s">
        <v>94</v>
      </c>
      <c r="J9" s="9" t="s">
        <v>95</v>
      </c>
      <c r="K9" s="1" t="s">
        <v>96</v>
      </c>
      <c r="L9" s="1">
        <v>2020</v>
      </c>
      <c r="M9" s="1" t="s">
        <v>97</v>
      </c>
      <c r="N9" s="3">
        <v>1</v>
      </c>
      <c r="O9" s="3">
        <v>1</v>
      </c>
      <c r="P9" s="3" t="s">
        <v>14</v>
      </c>
      <c r="Q9" s="3"/>
      <c r="R9" s="3" t="s">
        <v>98</v>
      </c>
      <c r="S9" s="3">
        <v>48</v>
      </c>
      <c r="T9" s="3" t="s">
        <v>47</v>
      </c>
      <c r="U9" s="3">
        <v>312</v>
      </c>
      <c r="V9" s="3">
        <v>14</v>
      </c>
      <c r="W9" s="3"/>
      <c r="X9" s="3"/>
      <c r="Y9" s="3" t="s">
        <v>99</v>
      </c>
      <c r="Z9" s="3" t="s">
        <v>100</v>
      </c>
      <c r="AA9" s="3" t="s">
        <v>101</v>
      </c>
      <c r="AB9" s="3" t="s">
        <v>102</v>
      </c>
      <c r="AC9" s="3">
        <v>46</v>
      </c>
      <c r="AD9" s="3">
        <v>19</v>
      </c>
      <c r="AE9" s="3">
        <v>27</v>
      </c>
      <c r="AF9" s="3">
        <v>5</v>
      </c>
      <c r="AG9" s="3">
        <f>AC9-AF9</f>
        <v>41</v>
      </c>
      <c r="AH9" s="3"/>
      <c r="AI9" s="3" t="s">
        <v>52</v>
      </c>
      <c r="AJ9" s="3" t="s">
        <v>103</v>
      </c>
      <c r="AK9" s="10" t="s">
        <v>104</v>
      </c>
      <c r="AL9" s="3" t="s">
        <v>55</v>
      </c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</row>
    <row r="10" spans="1:296" ht="34">
      <c r="A10" t="s">
        <v>105</v>
      </c>
      <c r="B10" s="3">
        <v>9</v>
      </c>
      <c r="C10" s="3" t="s">
        <v>106</v>
      </c>
      <c r="D10" s="3" t="s">
        <v>107</v>
      </c>
      <c r="E10" s="6" t="s">
        <v>40</v>
      </c>
      <c r="F10" s="7">
        <v>1</v>
      </c>
      <c r="G10" s="8">
        <v>0</v>
      </c>
      <c r="H10" s="7">
        <v>1</v>
      </c>
      <c r="I10" s="1" t="s">
        <v>108</v>
      </c>
      <c r="J10" s="9" t="s">
        <v>109</v>
      </c>
      <c r="K10" s="1" t="s">
        <v>110</v>
      </c>
      <c r="L10" s="1">
        <v>2020</v>
      </c>
      <c r="M10" s="1" t="s">
        <v>111</v>
      </c>
      <c r="N10" s="3">
        <v>1</v>
      </c>
      <c r="O10" s="3">
        <v>1</v>
      </c>
      <c r="P10" s="3" t="s">
        <v>14</v>
      </c>
      <c r="Q10" s="3" t="s">
        <v>81</v>
      </c>
      <c r="R10" s="3" t="s">
        <v>68</v>
      </c>
      <c r="S10" s="3" t="s">
        <v>47</v>
      </c>
      <c r="T10" s="3" t="s">
        <v>47</v>
      </c>
      <c r="U10" s="3">
        <v>100</v>
      </c>
      <c r="V10" s="3" t="s">
        <v>47</v>
      </c>
      <c r="X10" s="3"/>
      <c r="Y10" s="3"/>
      <c r="Z10" s="3" t="s">
        <v>112</v>
      </c>
      <c r="AA10" s="3" t="s">
        <v>113</v>
      </c>
      <c r="AB10" s="3" t="s">
        <v>62</v>
      </c>
      <c r="AC10" s="3">
        <v>31</v>
      </c>
      <c r="AD10" s="3">
        <v>17</v>
      </c>
      <c r="AE10" s="3">
        <v>14</v>
      </c>
      <c r="AF10" s="3">
        <v>0</v>
      </c>
      <c r="AG10" s="3">
        <v>31</v>
      </c>
      <c r="AH10" s="3" t="s">
        <v>114</v>
      </c>
      <c r="AI10" s="3" t="s">
        <v>52</v>
      </c>
      <c r="AJ10" s="3" t="s">
        <v>115</v>
      </c>
      <c r="AK10" s="11" t="s">
        <v>116</v>
      </c>
      <c r="AL10" s="3" t="s">
        <v>117</v>
      </c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</row>
    <row r="11" spans="1:296" ht="17">
      <c r="A11" s="3"/>
      <c r="B11" s="3">
        <v>10</v>
      </c>
      <c r="C11" s="3" t="s">
        <v>118</v>
      </c>
      <c r="D11" s="3" t="s">
        <v>119</v>
      </c>
      <c r="E11" s="3"/>
      <c r="F11" s="7">
        <v>1</v>
      </c>
      <c r="G11" t="s">
        <v>120</v>
      </c>
      <c r="H11" s="8">
        <v>0</v>
      </c>
      <c r="I11" s="1" t="s">
        <v>121</v>
      </c>
      <c r="J11" s="9" t="s">
        <v>122</v>
      </c>
      <c r="K11" s="1" t="s">
        <v>123</v>
      </c>
      <c r="L11" s="1">
        <v>2021</v>
      </c>
      <c r="M11" s="1" t="s">
        <v>124</v>
      </c>
      <c r="N11" s="3">
        <v>1</v>
      </c>
      <c r="O11" s="3">
        <v>1</v>
      </c>
      <c r="P11" s="3" t="s">
        <v>14</v>
      </c>
      <c r="Q11" s="3"/>
      <c r="R11" s="3" t="s">
        <v>98</v>
      </c>
      <c r="S11" s="3">
        <v>12</v>
      </c>
      <c r="T11" s="3" t="s">
        <v>47</v>
      </c>
      <c r="U11" s="3">
        <v>960</v>
      </c>
      <c r="V11" s="3">
        <v>7</v>
      </c>
      <c r="W11" s="11" t="s">
        <v>125</v>
      </c>
      <c r="X11" s="3"/>
      <c r="Y11" s="3" t="s">
        <v>126</v>
      </c>
      <c r="Z11" s="3" t="s">
        <v>71</v>
      </c>
      <c r="AA11" s="3" t="s">
        <v>127</v>
      </c>
      <c r="AB11" s="3" t="s">
        <v>62</v>
      </c>
      <c r="AC11" s="3">
        <v>40</v>
      </c>
      <c r="AD11" s="3">
        <v>8</v>
      </c>
      <c r="AE11" s="3">
        <v>32</v>
      </c>
      <c r="AF11" s="3">
        <v>7</v>
      </c>
      <c r="AG11" s="3">
        <v>33</v>
      </c>
      <c r="AH11" s="3" t="s">
        <v>128</v>
      </c>
      <c r="AI11" s="3" t="s">
        <v>129</v>
      </c>
      <c r="AJ11" s="3" t="s">
        <v>130</v>
      </c>
      <c r="AK11" s="10" t="s">
        <v>131</v>
      </c>
      <c r="AL11" s="3" t="s">
        <v>90</v>
      </c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  <c r="IY11" s="3"/>
      <c r="IZ11" s="3"/>
      <c r="JA11" s="3"/>
      <c r="JB11" s="3"/>
      <c r="JC11" s="3"/>
      <c r="JD11" s="3"/>
      <c r="JE11" s="3"/>
      <c r="JF11" s="3"/>
      <c r="JG11" s="3"/>
      <c r="JH11" s="3"/>
      <c r="JI11" s="3"/>
      <c r="JJ11" s="3"/>
      <c r="JK11" s="3"/>
      <c r="JL11" s="3"/>
      <c r="JM11" s="3"/>
      <c r="JN11" s="3"/>
      <c r="JO11" s="3"/>
      <c r="JP11" s="3"/>
      <c r="JQ11" s="3"/>
      <c r="JR11" s="3"/>
      <c r="JS11" s="3"/>
      <c r="JT11" s="3"/>
      <c r="JU11" s="3"/>
      <c r="JV11" s="3"/>
      <c r="JW11" s="3"/>
      <c r="JX11" s="3"/>
      <c r="JY11" s="3"/>
      <c r="JZ11" s="3"/>
      <c r="KA11" s="3"/>
      <c r="KB11" s="3"/>
      <c r="KC11" s="3"/>
      <c r="KD11" s="3"/>
      <c r="KE11" s="3"/>
      <c r="KF11" s="3"/>
      <c r="KG11" s="3"/>
      <c r="KH11" s="3"/>
      <c r="KI11" s="3"/>
      <c r="KJ11" s="3"/>
    </row>
    <row r="12" spans="1:296" ht="19">
      <c r="A12" s="3"/>
      <c r="B12" s="3">
        <v>11</v>
      </c>
      <c r="C12" s="3" t="s">
        <v>132</v>
      </c>
      <c r="D12" s="3" t="s">
        <v>133</v>
      </c>
      <c r="E12" s="6"/>
      <c r="F12" s="7">
        <v>1</v>
      </c>
      <c r="G12" s="8">
        <v>0</v>
      </c>
      <c r="H12" s="8">
        <v>0</v>
      </c>
      <c r="I12" s="18" t="s">
        <v>134</v>
      </c>
      <c r="J12" s="20" t="s">
        <v>42</v>
      </c>
      <c r="K12" s="18" t="s">
        <v>43</v>
      </c>
      <c r="L12" s="18">
        <v>2020</v>
      </c>
      <c r="M12" s="18" t="s">
        <v>135</v>
      </c>
      <c r="N12" s="3">
        <v>2</v>
      </c>
      <c r="O12" s="3">
        <v>2</v>
      </c>
      <c r="P12" s="3" t="s">
        <v>14</v>
      </c>
      <c r="Q12" s="3"/>
      <c r="R12" s="3" t="s">
        <v>68</v>
      </c>
      <c r="S12" s="3">
        <v>8</v>
      </c>
      <c r="T12" s="3" t="s">
        <v>47</v>
      </c>
      <c r="U12" s="3">
        <v>192</v>
      </c>
      <c r="V12" s="3">
        <v>4</v>
      </c>
      <c r="W12" s="3"/>
      <c r="X12" s="3"/>
      <c r="Y12" s="3"/>
      <c r="Z12" s="3" t="s">
        <v>71</v>
      </c>
      <c r="AA12" s="3" t="s">
        <v>72</v>
      </c>
      <c r="AB12" s="3" t="s">
        <v>62</v>
      </c>
      <c r="AC12" s="3">
        <v>56</v>
      </c>
      <c r="AD12" s="3">
        <v>28</v>
      </c>
      <c r="AE12" s="3">
        <v>28</v>
      </c>
      <c r="AF12" s="3">
        <v>3</v>
      </c>
      <c r="AG12" s="3">
        <v>53</v>
      </c>
      <c r="AH12" s="3" t="s">
        <v>136</v>
      </c>
      <c r="AI12" s="3" t="s">
        <v>137</v>
      </c>
      <c r="AJ12" s="3" t="s">
        <v>138</v>
      </c>
      <c r="AK12" s="10" t="s">
        <v>139</v>
      </c>
      <c r="AL12" s="3" t="s">
        <v>55</v>
      </c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  <c r="IY12" s="3"/>
      <c r="IZ12" s="3"/>
      <c r="JA12" s="3"/>
      <c r="JB12" s="3"/>
      <c r="JC12" s="3"/>
      <c r="JD12" s="3"/>
      <c r="JE12" s="3"/>
      <c r="JF12" s="3"/>
      <c r="JG12" s="3"/>
      <c r="JH12" s="3"/>
      <c r="JI12" s="3"/>
      <c r="JJ12" s="3"/>
      <c r="JK12" s="3"/>
      <c r="JL12" s="3"/>
      <c r="JM12" s="3"/>
      <c r="JN12" s="3"/>
      <c r="JO12" s="3"/>
      <c r="JP12" s="3"/>
      <c r="JQ12" s="3"/>
      <c r="JR12" s="3"/>
      <c r="JS12" s="3"/>
      <c r="JT12" s="3"/>
      <c r="JU12" s="3"/>
      <c r="JV12" s="3"/>
      <c r="JW12" s="3"/>
      <c r="JX12" s="3"/>
      <c r="JY12" s="3"/>
      <c r="JZ12" s="3"/>
      <c r="KA12" s="3"/>
      <c r="KB12" s="3"/>
      <c r="KC12" s="3"/>
      <c r="KD12" s="3"/>
      <c r="KE12" s="3"/>
      <c r="KF12" s="3"/>
      <c r="KG12" s="3"/>
      <c r="KH12" s="3"/>
      <c r="KI12" s="3"/>
      <c r="KJ12" s="3"/>
    </row>
    <row r="13" spans="1:296" ht="19">
      <c r="A13" s="3"/>
      <c r="B13" s="3">
        <v>12</v>
      </c>
      <c r="C13" s="3" t="s">
        <v>140</v>
      </c>
      <c r="D13" s="3" t="s">
        <v>133</v>
      </c>
      <c r="E13" s="6"/>
      <c r="F13" s="7"/>
      <c r="G13" s="8"/>
      <c r="H13" s="8"/>
      <c r="I13" s="18"/>
      <c r="J13" s="20"/>
      <c r="K13" s="18"/>
      <c r="L13" s="18"/>
      <c r="M13" s="18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 t="s">
        <v>48</v>
      </c>
      <c r="AA13" s="3" t="s">
        <v>49</v>
      </c>
      <c r="AB13" s="3" t="s">
        <v>62</v>
      </c>
      <c r="AC13" s="3">
        <v>56</v>
      </c>
      <c r="AD13" s="3">
        <v>25</v>
      </c>
      <c r="AE13" s="3">
        <v>31</v>
      </c>
      <c r="AF13" s="3">
        <v>6</v>
      </c>
      <c r="AG13" s="3">
        <v>20</v>
      </c>
      <c r="AH13" s="3" t="s">
        <v>141</v>
      </c>
      <c r="AI13" s="3" t="s">
        <v>137</v>
      </c>
      <c r="AJ13" s="3" t="s">
        <v>138</v>
      </c>
      <c r="AK13" s="10" t="s">
        <v>139</v>
      </c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  <c r="IY13" s="3"/>
      <c r="IZ13" s="3"/>
      <c r="JA13" s="3"/>
      <c r="JB13" s="3"/>
      <c r="JC13" s="3"/>
      <c r="JD13" s="3"/>
      <c r="JE13" s="3"/>
      <c r="JF13" s="3"/>
      <c r="JG13" s="3"/>
      <c r="JH13" s="3"/>
      <c r="JI13" s="3"/>
      <c r="JJ13" s="3"/>
      <c r="JK13" s="3"/>
      <c r="JL13" s="3"/>
      <c r="JM13" s="3"/>
      <c r="JN13" s="3"/>
      <c r="JO13" s="3"/>
      <c r="JP13" s="3"/>
      <c r="JQ13" s="3"/>
      <c r="JR13" s="3"/>
      <c r="JS13" s="3"/>
      <c r="JT13" s="3"/>
      <c r="JU13" s="3"/>
      <c r="JV13" s="3"/>
      <c r="JW13" s="3"/>
      <c r="JX13" s="3"/>
      <c r="JY13" s="3"/>
      <c r="JZ13" s="3"/>
      <c r="KA13" s="3"/>
      <c r="KB13" s="3"/>
      <c r="KC13" s="3"/>
      <c r="KD13" s="3"/>
      <c r="KE13" s="3"/>
      <c r="KF13" s="3"/>
      <c r="KG13" s="3"/>
      <c r="KH13" s="3"/>
      <c r="KI13" s="3"/>
      <c r="KJ13" s="3"/>
    </row>
    <row r="14" spans="1:296" ht="19">
      <c r="A14" s="3" t="s">
        <v>142</v>
      </c>
      <c r="B14" s="3">
        <v>13</v>
      </c>
      <c r="C14" s="3" t="s">
        <v>143</v>
      </c>
      <c r="D14" s="3" t="s">
        <v>144</v>
      </c>
      <c r="E14" s="6" t="s">
        <v>40</v>
      </c>
      <c r="F14" s="7">
        <v>1</v>
      </c>
      <c r="G14" s="8">
        <v>0</v>
      </c>
      <c r="H14" s="8">
        <v>0</v>
      </c>
      <c r="I14" s="18" t="s">
        <v>145</v>
      </c>
      <c r="J14" s="20" t="s">
        <v>146</v>
      </c>
      <c r="K14" s="18" t="s">
        <v>147</v>
      </c>
      <c r="L14" s="18">
        <v>2020</v>
      </c>
      <c r="M14" s="18" t="s">
        <v>148</v>
      </c>
      <c r="N14" s="3">
        <v>1</v>
      </c>
      <c r="O14" s="3">
        <v>1</v>
      </c>
      <c r="P14" s="3" t="s">
        <v>14</v>
      </c>
      <c r="Q14" s="3"/>
      <c r="R14" s="3" t="s">
        <v>149</v>
      </c>
      <c r="S14" s="3">
        <v>10</v>
      </c>
      <c r="T14" s="3" t="s">
        <v>47</v>
      </c>
      <c r="U14" s="3">
        <v>144</v>
      </c>
      <c r="V14" s="3" t="s">
        <v>47</v>
      </c>
      <c r="W14" s="3" t="s">
        <v>150</v>
      </c>
      <c r="X14" s="3"/>
      <c r="Y14" s="3" t="s">
        <v>126</v>
      </c>
      <c r="Z14" s="3" t="s">
        <v>100</v>
      </c>
      <c r="AA14" s="3" t="s">
        <v>151</v>
      </c>
      <c r="AB14" s="3" t="s">
        <v>102</v>
      </c>
      <c r="AC14" s="3">
        <v>26</v>
      </c>
      <c r="AD14" s="3">
        <v>10</v>
      </c>
      <c r="AE14" s="3">
        <v>16</v>
      </c>
      <c r="AF14" s="3">
        <v>2</v>
      </c>
      <c r="AG14" s="3">
        <f>AC14-AF14</f>
        <v>24</v>
      </c>
      <c r="AH14" s="3" t="s">
        <v>152</v>
      </c>
      <c r="AI14" s="3" t="s">
        <v>52</v>
      </c>
      <c r="AJ14" s="3" t="s">
        <v>153</v>
      </c>
      <c r="AK14" s="10" t="s">
        <v>154</v>
      </c>
      <c r="AL14" s="3" t="s">
        <v>55</v>
      </c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3"/>
      <c r="JB14" s="3"/>
      <c r="JC14" s="3"/>
      <c r="JD14" s="3"/>
      <c r="JE14" s="3"/>
      <c r="JF14" s="3"/>
      <c r="JG14" s="3"/>
      <c r="JH14" s="3"/>
      <c r="JI14" s="3"/>
      <c r="JJ14" s="3"/>
      <c r="JK14" s="3"/>
      <c r="JL14" s="3"/>
      <c r="JM14" s="3"/>
      <c r="JN14" s="3"/>
      <c r="JO14" s="3"/>
      <c r="JP14" s="3"/>
      <c r="JQ14" s="3"/>
      <c r="JR14" s="3"/>
      <c r="JS14" s="3"/>
      <c r="JT14" s="3"/>
      <c r="JU14" s="3"/>
      <c r="JV14" s="3"/>
      <c r="JW14" s="3"/>
      <c r="JX14" s="3"/>
      <c r="JY14" s="3"/>
      <c r="JZ14" s="3"/>
      <c r="KA14" s="3"/>
      <c r="KB14" s="3"/>
      <c r="KC14" s="3"/>
      <c r="KD14" s="3"/>
      <c r="KE14" s="3"/>
      <c r="KF14" s="3"/>
      <c r="KG14" s="3"/>
      <c r="KH14" s="3"/>
      <c r="KI14" s="3"/>
      <c r="KJ14" s="3"/>
    </row>
    <row r="15" spans="1:296" ht="19">
      <c r="A15" s="3"/>
      <c r="B15" s="3">
        <v>14</v>
      </c>
      <c r="C15" s="3" t="s">
        <v>155</v>
      </c>
      <c r="D15" s="3" t="s">
        <v>144</v>
      </c>
      <c r="E15" s="6" t="s">
        <v>40</v>
      </c>
      <c r="F15" s="7">
        <v>1</v>
      </c>
      <c r="G15" s="8">
        <v>0</v>
      </c>
      <c r="H15" s="8">
        <v>0</v>
      </c>
      <c r="I15" s="18"/>
      <c r="J15" s="20"/>
      <c r="K15" s="18"/>
      <c r="L15" s="18"/>
      <c r="M15" s="18"/>
      <c r="N15" s="3">
        <v>2</v>
      </c>
      <c r="O15" s="3">
        <v>2</v>
      </c>
      <c r="P15" s="3" t="s">
        <v>14</v>
      </c>
      <c r="Q15" s="3"/>
      <c r="R15" s="3" t="s">
        <v>156</v>
      </c>
      <c r="S15" s="3">
        <v>20</v>
      </c>
      <c r="T15" s="3" t="s">
        <v>47</v>
      </c>
      <c r="U15" s="3">
        <v>100</v>
      </c>
      <c r="V15" s="3">
        <v>2</v>
      </c>
      <c r="W15" s="3" t="s">
        <v>157</v>
      </c>
      <c r="X15" s="3"/>
      <c r="Y15" s="3" t="s">
        <v>126</v>
      </c>
      <c r="Z15" s="3" t="s">
        <v>100</v>
      </c>
      <c r="AA15" s="3" t="s">
        <v>151</v>
      </c>
      <c r="AB15" s="3" t="s">
        <v>102</v>
      </c>
      <c r="AC15" s="3">
        <v>26</v>
      </c>
      <c r="AD15" s="3">
        <v>7</v>
      </c>
      <c r="AE15" s="3">
        <v>19</v>
      </c>
      <c r="AF15" s="3">
        <v>1</v>
      </c>
      <c r="AG15" s="3">
        <f>AC15-AF15</f>
        <v>25</v>
      </c>
      <c r="AH15" s="11" t="s">
        <v>158</v>
      </c>
      <c r="AI15" s="3" t="s">
        <v>52</v>
      </c>
      <c r="AJ15" s="3" t="s">
        <v>153</v>
      </c>
      <c r="AK15" s="10" t="s">
        <v>154</v>
      </c>
      <c r="AL15" s="3" t="s">
        <v>55</v>
      </c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</row>
    <row r="16" spans="1:296" ht="19">
      <c r="A16" s="3"/>
      <c r="B16" s="3">
        <v>15</v>
      </c>
      <c r="C16" s="3" t="s">
        <v>159</v>
      </c>
      <c r="D16" s="3" t="s">
        <v>160</v>
      </c>
      <c r="E16" s="6" t="s">
        <v>40</v>
      </c>
      <c r="F16" s="7">
        <v>1</v>
      </c>
      <c r="G16" t="s">
        <v>120</v>
      </c>
      <c r="H16" s="8">
        <v>0</v>
      </c>
      <c r="I16" s="18" t="s">
        <v>161</v>
      </c>
      <c r="J16" s="20" t="s">
        <v>162</v>
      </c>
      <c r="K16" s="18" t="s">
        <v>163</v>
      </c>
      <c r="L16" s="18">
        <v>2019</v>
      </c>
      <c r="M16" s="18" t="s">
        <v>164</v>
      </c>
      <c r="N16" s="3">
        <v>1</v>
      </c>
      <c r="O16" s="3">
        <v>1</v>
      </c>
      <c r="P16" s="3" t="s">
        <v>14</v>
      </c>
      <c r="Q16" s="3" t="s">
        <v>165</v>
      </c>
      <c r="R16" s="3" t="s">
        <v>166</v>
      </c>
      <c r="S16" s="3">
        <v>48</v>
      </c>
      <c r="T16" s="3" t="s">
        <v>47</v>
      </c>
      <c r="U16" s="3">
        <v>144</v>
      </c>
      <c r="V16" s="3">
        <v>3</v>
      </c>
      <c r="W16" s="3"/>
      <c r="X16" s="3"/>
      <c r="Y16" s="3" t="s">
        <v>126</v>
      </c>
      <c r="Z16" s="3" t="s">
        <v>167</v>
      </c>
      <c r="AA16" s="3" t="s">
        <v>168</v>
      </c>
      <c r="AB16" s="3" t="s">
        <v>169</v>
      </c>
      <c r="AC16" s="3">
        <v>32</v>
      </c>
      <c r="AD16" s="3" t="s">
        <v>170</v>
      </c>
      <c r="AE16" s="3"/>
      <c r="AF16" s="3">
        <v>0</v>
      </c>
      <c r="AG16" s="3">
        <v>32</v>
      </c>
      <c r="AH16" s="11" t="s">
        <v>171</v>
      </c>
      <c r="AI16" s="3" t="s">
        <v>52</v>
      </c>
      <c r="AJ16" s="3" t="s">
        <v>172</v>
      </c>
      <c r="AK16" s="10" t="s">
        <v>173</v>
      </c>
      <c r="AL16" s="3" t="s">
        <v>174</v>
      </c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</row>
    <row r="17" spans="1:296" ht="19">
      <c r="A17" s="3"/>
      <c r="B17" s="3">
        <v>16</v>
      </c>
      <c r="C17" s="3" t="s">
        <v>175</v>
      </c>
      <c r="D17" s="3" t="s">
        <v>160</v>
      </c>
      <c r="E17" s="6" t="s">
        <v>40</v>
      </c>
      <c r="F17" s="7"/>
      <c r="G17" s="8"/>
      <c r="H17" s="7"/>
      <c r="I17" s="18"/>
      <c r="J17" s="20"/>
      <c r="K17" s="18"/>
      <c r="L17" s="18"/>
      <c r="M17" s="1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126</v>
      </c>
      <c r="Z17" s="3" t="s">
        <v>167</v>
      </c>
      <c r="AA17" s="3" t="s">
        <v>168</v>
      </c>
      <c r="AB17" s="3" t="s">
        <v>169</v>
      </c>
      <c r="AC17" s="3">
        <v>36</v>
      </c>
      <c r="AD17" s="3" t="s">
        <v>170</v>
      </c>
      <c r="AE17" s="3"/>
      <c r="AF17" s="3">
        <v>0</v>
      </c>
      <c r="AG17" s="3">
        <v>36</v>
      </c>
      <c r="AH17" s="3" t="s">
        <v>176</v>
      </c>
      <c r="AI17" s="3" t="s">
        <v>52</v>
      </c>
      <c r="AJ17" s="3" t="s">
        <v>172</v>
      </c>
      <c r="AK17" s="10" t="s">
        <v>173</v>
      </c>
      <c r="AL17" s="3" t="s">
        <v>174</v>
      </c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3"/>
      <c r="JB17" s="3"/>
      <c r="JC17" s="3"/>
      <c r="JD17" s="3"/>
      <c r="JE17" s="3"/>
      <c r="JF17" s="3"/>
      <c r="JG17" s="3"/>
      <c r="JH17" s="3"/>
      <c r="JI17" s="3"/>
      <c r="JJ17" s="3"/>
      <c r="JK17" s="3"/>
      <c r="JL17" s="3"/>
      <c r="JM17" s="3"/>
      <c r="JN17" s="3"/>
      <c r="JO17" s="3"/>
      <c r="JP17" s="3"/>
      <c r="JQ17" s="3"/>
      <c r="JR17" s="3"/>
      <c r="JS17" s="3"/>
      <c r="JT17" s="3"/>
      <c r="JU17" s="3"/>
      <c r="JV17" s="3"/>
      <c r="JW17" s="3"/>
      <c r="JX17" s="3"/>
      <c r="JY17" s="3"/>
      <c r="JZ17" s="3"/>
      <c r="KA17" s="3"/>
      <c r="KB17" s="3"/>
      <c r="KC17" s="3"/>
      <c r="KD17" s="3"/>
      <c r="KE17" s="3"/>
      <c r="KF17" s="3"/>
      <c r="KG17" s="3"/>
      <c r="KH17" s="3"/>
      <c r="KI17" s="3"/>
      <c r="KJ17" s="3"/>
    </row>
    <row r="18" spans="1:296" ht="19">
      <c r="A18" s="3"/>
      <c r="B18" s="3">
        <v>17</v>
      </c>
      <c r="C18" s="3" t="s">
        <v>177</v>
      </c>
      <c r="D18" s="3" t="s">
        <v>160</v>
      </c>
      <c r="E18" s="6" t="s">
        <v>40</v>
      </c>
      <c r="F18" s="7"/>
      <c r="G18" s="8"/>
      <c r="H18" s="7"/>
      <c r="I18" s="18"/>
      <c r="J18" s="20"/>
      <c r="K18" s="18"/>
      <c r="L18" s="18"/>
      <c r="M18" s="18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 t="s">
        <v>126</v>
      </c>
      <c r="Z18" s="3" t="s">
        <v>167</v>
      </c>
      <c r="AA18" s="3" t="s">
        <v>168</v>
      </c>
      <c r="AB18" s="3" t="s">
        <v>169</v>
      </c>
      <c r="AC18" s="3">
        <v>35</v>
      </c>
      <c r="AD18" s="3" t="s">
        <v>170</v>
      </c>
      <c r="AE18" s="3"/>
      <c r="AF18" s="3">
        <v>0</v>
      </c>
      <c r="AG18" s="3">
        <v>35</v>
      </c>
      <c r="AH18" s="3" t="s">
        <v>171</v>
      </c>
      <c r="AI18" s="3" t="s">
        <v>52</v>
      </c>
      <c r="AJ18" s="3" t="s">
        <v>172</v>
      </c>
      <c r="AK18" s="10" t="s">
        <v>173</v>
      </c>
      <c r="AL18" s="3" t="s">
        <v>174</v>
      </c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</row>
    <row r="19" spans="1:296" ht="19">
      <c r="A19" s="3" t="s">
        <v>178</v>
      </c>
      <c r="B19" s="3">
        <v>18</v>
      </c>
      <c r="C19" s="3" t="s">
        <v>179</v>
      </c>
      <c r="D19" s="3" t="s">
        <v>180</v>
      </c>
      <c r="E19" s="6" t="s">
        <v>40</v>
      </c>
      <c r="F19" s="7">
        <v>1</v>
      </c>
      <c r="G19" s="8">
        <v>0</v>
      </c>
      <c r="H19" s="7">
        <v>1</v>
      </c>
      <c r="I19" s="18" t="s">
        <v>181</v>
      </c>
      <c r="J19" s="20" t="s">
        <v>182</v>
      </c>
      <c r="K19" s="18" t="s">
        <v>183</v>
      </c>
      <c r="L19" s="18">
        <v>2018</v>
      </c>
      <c r="M19" s="18" t="s">
        <v>184</v>
      </c>
      <c r="N19" s="3">
        <v>1</v>
      </c>
      <c r="O19" s="3">
        <v>1</v>
      </c>
      <c r="P19" s="3" t="s">
        <v>14</v>
      </c>
      <c r="Q19" s="3" t="s">
        <v>81</v>
      </c>
      <c r="R19" s="3" t="s">
        <v>68</v>
      </c>
      <c r="S19" s="3">
        <v>24</v>
      </c>
      <c r="T19" s="3" t="s">
        <v>47</v>
      </c>
      <c r="U19" s="3">
        <v>672</v>
      </c>
      <c r="V19" s="3">
        <v>4</v>
      </c>
      <c r="W19" s="3" t="s">
        <v>185</v>
      </c>
      <c r="X19" s="3"/>
      <c r="Y19" s="3" t="s">
        <v>126</v>
      </c>
      <c r="Z19" s="3" t="s">
        <v>186</v>
      </c>
      <c r="AA19" s="3" t="s">
        <v>187</v>
      </c>
      <c r="AB19" s="3" t="s">
        <v>62</v>
      </c>
      <c r="AC19" s="3">
        <v>19</v>
      </c>
      <c r="AD19" s="3">
        <v>9</v>
      </c>
      <c r="AE19" s="3">
        <v>9</v>
      </c>
      <c r="AF19" s="3">
        <v>1</v>
      </c>
      <c r="AG19" s="3">
        <f t="shared" ref="AG19:AG29" si="0">AC19-AF19</f>
        <v>18</v>
      </c>
      <c r="AH19" s="3" t="s">
        <v>188</v>
      </c>
      <c r="AI19" s="3" t="s">
        <v>178</v>
      </c>
      <c r="AJ19" s="3" t="s">
        <v>189</v>
      </c>
      <c r="AK19" s="10" t="s">
        <v>190</v>
      </c>
      <c r="AL19" s="3" t="s">
        <v>90</v>
      </c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3"/>
      <c r="JB19" s="3"/>
      <c r="JC19" s="3"/>
      <c r="JD19" s="3"/>
      <c r="JE19" s="3"/>
      <c r="JF19" s="3"/>
      <c r="JG19" s="3"/>
      <c r="JH19" s="3"/>
      <c r="JI19" s="3"/>
      <c r="JJ19" s="3"/>
      <c r="JK19" s="3"/>
      <c r="JL19" s="3"/>
      <c r="JM19" s="3"/>
      <c r="JN19" s="3"/>
      <c r="JO19" s="3"/>
      <c r="JP19" s="3"/>
      <c r="JQ19" s="3"/>
      <c r="JR19" s="3"/>
      <c r="JS19" s="3"/>
      <c r="JT19" s="3"/>
      <c r="JU19" s="3"/>
      <c r="JV19" s="3"/>
      <c r="JW19" s="3"/>
      <c r="JX19" s="3"/>
      <c r="JY19" s="3"/>
      <c r="JZ19" s="3"/>
      <c r="KA19" s="3"/>
      <c r="KB19" s="3"/>
      <c r="KC19" s="3"/>
      <c r="KD19" s="3"/>
      <c r="KE19" s="3"/>
      <c r="KF19" s="3"/>
      <c r="KG19" s="3"/>
      <c r="KH19" s="3"/>
      <c r="KI19" s="3"/>
      <c r="KJ19" s="3"/>
    </row>
    <row r="20" spans="1:296" ht="19">
      <c r="A20" s="3" t="s">
        <v>178</v>
      </c>
      <c r="B20" s="3">
        <v>19</v>
      </c>
      <c r="C20" s="3" t="s">
        <v>191</v>
      </c>
      <c r="D20" s="3" t="s">
        <v>180</v>
      </c>
      <c r="E20" s="6" t="s">
        <v>40</v>
      </c>
      <c r="F20" s="7">
        <v>1</v>
      </c>
      <c r="G20" s="8">
        <v>0</v>
      </c>
      <c r="H20" s="7">
        <v>1</v>
      </c>
      <c r="I20" s="18"/>
      <c r="J20" s="20"/>
      <c r="K20" s="18"/>
      <c r="L20" s="18"/>
      <c r="M20" s="18"/>
      <c r="N20" s="3">
        <v>2</v>
      </c>
      <c r="O20" s="3">
        <v>2</v>
      </c>
      <c r="P20" s="3" t="s">
        <v>14</v>
      </c>
      <c r="Q20" s="3" t="s">
        <v>81</v>
      </c>
      <c r="R20" s="3" t="s">
        <v>68</v>
      </c>
      <c r="S20" s="3">
        <v>24</v>
      </c>
      <c r="T20" s="3" t="s">
        <v>47</v>
      </c>
      <c r="U20" s="3">
        <v>672</v>
      </c>
      <c r="V20" s="3">
        <v>4</v>
      </c>
      <c r="W20" s="3" t="s">
        <v>185</v>
      </c>
      <c r="X20" s="3"/>
      <c r="Y20" s="3" t="s">
        <v>126</v>
      </c>
      <c r="Z20" s="3" t="s">
        <v>186</v>
      </c>
      <c r="AA20" s="3" t="s">
        <v>187</v>
      </c>
      <c r="AB20" s="3" t="s">
        <v>62</v>
      </c>
      <c r="AC20" s="3">
        <v>20</v>
      </c>
      <c r="AD20" s="3">
        <v>9</v>
      </c>
      <c r="AE20" s="3">
        <v>9</v>
      </c>
      <c r="AF20" s="3">
        <v>2</v>
      </c>
      <c r="AG20" s="3">
        <f t="shared" si="0"/>
        <v>18</v>
      </c>
      <c r="AH20" s="3" t="s">
        <v>188</v>
      </c>
      <c r="AI20" s="3" t="s">
        <v>178</v>
      </c>
      <c r="AJ20" s="3" t="s">
        <v>189</v>
      </c>
      <c r="AK20" s="10" t="s">
        <v>190</v>
      </c>
      <c r="AL20" s="3" t="s">
        <v>90</v>
      </c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</row>
    <row r="21" spans="1:296" ht="19">
      <c r="A21" s="3" t="s">
        <v>192</v>
      </c>
      <c r="B21" s="3">
        <v>20</v>
      </c>
      <c r="C21" s="3" t="s">
        <v>193</v>
      </c>
      <c r="D21" s="3" t="s">
        <v>194</v>
      </c>
      <c r="E21" s="6" t="s">
        <v>40</v>
      </c>
      <c r="F21" s="7">
        <v>1</v>
      </c>
      <c r="G21" s="8">
        <v>0</v>
      </c>
      <c r="H21" s="8">
        <v>0</v>
      </c>
      <c r="I21" s="18" t="s">
        <v>195</v>
      </c>
      <c r="J21" s="20" t="s">
        <v>196</v>
      </c>
      <c r="K21" s="18" t="s">
        <v>197</v>
      </c>
      <c r="L21" s="18">
        <v>2021</v>
      </c>
      <c r="M21" s="18" t="s">
        <v>66</v>
      </c>
      <c r="N21" s="3">
        <v>1</v>
      </c>
      <c r="O21" s="3">
        <v>1</v>
      </c>
      <c r="P21" s="3" t="s">
        <v>14</v>
      </c>
      <c r="Q21" s="3" t="s">
        <v>81</v>
      </c>
      <c r="R21" s="3" t="s">
        <v>68</v>
      </c>
      <c r="S21" s="3">
        <v>12</v>
      </c>
      <c r="T21" s="3" t="s">
        <v>47</v>
      </c>
      <c r="U21" s="3">
        <v>360</v>
      </c>
      <c r="V21" s="3">
        <v>6</v>
      </c>
      <c r="W21" s="3" t="s">
        <v>198</v>
      </c>
      <c r="X21" s="3"/>
      <c r="Y21" s="3"/>
      <c r="Z21" s="3" t="s">
        <v>71</v>
      </c>
      <c r="AA21" s="3" t="s">
        <v>199</v>
      </c>
      <c r="AB21" s="3" t="s">
        <v>62</v>
      </c>
      <c r="AC21" s="3">
        <v>30</v>
      </c>
      <c r="AD21" s="3">
        <v>9</v>
      </c>
      <c r="AE21" s="3">
        <v>21</v>
      </c>
      <c r="AF21" s="3">
        <v>5</v>
      </c>
      <c r="AG21" s="3">
        <f t="shared" si="0"/>
        <v>25</v>
      </c>
      <c r="AH21" s="3" t="s">
        <v>200</v>
      </c>
      <c r="AI21" s="12" t="s">
        <v>52</v>
      </c>
      <c r="AJ21" s="3" t="s">
        <v>201</v>
      </c>
      <c r="AK21" s="10" t="s">
        <v>202</v>
      </c>
      <c r="AL21" s="3" t="s">
        <v>203</v>
      </c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</row>
    <row r="22" spans="1:296" ht="19">
      <c r="A22" s="3"/>
      <c r="B22" s="3">
        <v>21</v>
      </c>
      <c r="C22" s="3" t="s">
        <v>204</v>
      </c>
      <c r="D22" s="3" t="s">
        <v>194</v>
      </c>
      <c r="E22" s="6" t="s">
        <v>40</v>
      </c>
      <c r="F22" s="7">
        <v>1</v>
      </c>
      <c r="G22" s="8">
        <v>0</v>
      </c>
      <c r="H22" s="8">
        <v>0</v>
      </c>
      <c r="I22" s="18"/>
      <c r="J22" s="20"/>
      <c r="K22" s="18"/>
      <c r="L22" s="18"/>
      <c r="M22" s="18"/>
      <c r="N22" s="3">
        <v>2</v>
      </c>
      <c r="O22" s="3">
        <v>2</v>
      </c>
      <c r="P22" s="3" t="s">
        <v>14</v>
      </c>
      <c r="Q22" s="3" t="s">
        <v>81</v>
      </c>
      <c r="R22" s="3" t="s">
        <v>68</v>
      </c>
      <c r="S22" s="3">
        <v>12</v>
      </c>
      <c r="T22" s="3" t="s">
        <v>47</v>
      </c>
      <c r="U22" s="3">
        <v>360</v>
      </c>
      <c r="V22" s="3">
        <v>6</v>
      </c>
      <c r="W22" s="3"/>
      <c r="X22" s="3"/>
      <c r="Y22" s="3"/>
      <c r="Z22" s="3" t="s">
        <v>71</v>
      </c>
      <c r="AA22" s="3" t="s">
        <v>199</v>
      </c>
      <c r="AB22" s="3" t="s">
        <v>62</v>
      </c>
      <c r="AC22" s="3">
        <v>30</v>
      </c>
      <c r="AD22" s="3">
        <v>10</v>
      </c>
      <c r="AE22" s="3">
        <v>20</v>
      </c>
      <c r="AF22" s="3">
        <v>5</v>
      </c>
      <c r="AG22" s="3">
        <f t="shared" si="0"/>
        <v>25</v>
      </c>
      <c r="AH22" s="3" t="s">
        <v>205</v>
      </c>
      <c r="AI22" s="12" t="s">
        <v>52</v>
      </c>
      <c r="AJ22" s="3" t="s">
        <v>201</v>
      </c>
      <c r="AK22" s="10" t="s">
        <v>202</v>
      </c>
      <c r="AL22" s="3" t="s">
        <v>203</v>
      </c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</row>
    <row r="23" spans="1:296" ht="19">
      <c r="A23" s="3"/>
      <c r="B23" s="3">
        <v>22</v>
      </c>
      <c r="C23" s="3" t="s">
        <v>206</v>
      </c>
      <c r="D23" s="3" t="s">
        <v>207</v>
      </c>
      <c r="E23" s="6" t="s">
        <v>40</v>
      </c>
      <c r="F23" s="7">
        <v>1</v>
      </c>
      <c r="G23" s="8">
        <v>0</v>
      </c>
      <c r="H23" s="8">
        <v>0</v>
      </c>
      <c r="I23" s="18" t="s">
        <v>208</v>
      </c>
      <c r="J23" s="20" t="s">
        <v>209</v>
      </c>
      <c r="K23" s="18" t="s">
        <v>210</v>
      </c>
      <c r="L23" s="18">
        <v>2021</v>
      </c>
      <c r="M23" s="18" t="s">
        <v>66</v>
      </c>
      <c r="N23" s="3">
        <v>1</v>
      </c>
      <c r="O23" s="3">
        <v>1</v>
      </c>
      <c r="P23" s="3" t="s">
        <v>14</v>
      </c>
      <c r="Q23" s="3" t="s">
        <v>81</v>
      </c>
      <c r="R23" s="3" t="s">
        <v>68</v>
      </c>
      <c r="S23" s="3">
        <v>12</v>
      </c>
      <c r="T23" s="3">
        <v>1</v>
      </c>
      <c r="U23" s="3">
        <v>360</v>
      </c>
      <c r="V23" s="3">
        <v>3</v>
      </c>
      <c r="W23" s="3"/>
      <c r="X23" s="3"/>
      <c r="Y23" s="3" t="s">
        <v>126</v>
      </c>
      <c r="Z23" s="3" t="s">
        <v>211</v>
      </c>
      <c r="AA23" s="3" t="s">
        <v>212</v>
      </c>
      <c r="AB23" s="3" t="s">
        <v>213</v>
      </c>
      <c r="AC23" s="3">
        <v>13</v>
      </c>
      <c r="AD23" s="3">
        <v>3</v>
      </c>
      <c r="AE23" s="3">
        <v>10</v>
      </c>
      <c r="AF23" s="3">
        <v>0</v>
      </c>
      <c r="AG23" s="3">
        <f t="shared" si="0"/>
        <v>13</v>
      </c>
      <c r="AH23" s="3" t="s">
        <v>214</v>
      </c>
      <c r="AI23" s="12" t="s">
        <v>52</v>
      </c>
      <c r="AJ23" s="3" t="s">
        <v>215</v>
      </c>
      <c r="AK23" s="10" t="s">
        <v>216</v>
      </c>
      <c r="AL23" s="3" t="s">
        <v>217</v>
      </c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  <c r="IY23" s="3"/>
      <c r="IZ23" s="3"/>
      <c r="JA23" s="3"/>
      <c r="JB23" s="3"/>
      <c r="JC23" s="3"/>
      <c r="JD23" s="3"/>
      <c r="JE23" s="3"/>
      <c r="JF23" s="3"/>
      <c r="JG23" s="3"/>
      <c r="JH23" s="3"/>
      <c r="JI23" s="3"/>
      <c r="JJ23" s="3"/>
      <c r="JK23" s="3"/>
      <c r="JL23" s="3"/>
      <c r="JM23" s="3"/>
      <c r="JN23" s="3"/>
      <c r="JO23" s="3"/>
      <c r="JP23" s="3"/>
      <c r="JQ23" s="3"/>
      <c r="JR23" s="3"/>
      <c r="JS23" s="3"/>
      <c r="JT23" s="3"/>
      <c r="JU23" s="3"/>
      <c r="JV23" s="3"/>
      <c r="JW23" s="3"/>
      <c r="JX23" s="3"/>
      <c r="JY23" s="3"/>
      <c r="JZ23" s="3"/>
      <c r="KA23" s="3"/>
      <c r="KB23" s="3"/>
      <c r="KC23" s="3"/>
      <c r="KD23" s="3"/>
      <c r="KE23" s="3"/>
      <c r="KF23" s="3"/>
      <c r="KG23" s="3"/>
      <c r="KH23" s="3"/>
      <c r="KI23" s="3"/>
      <c r="KJ23" s="3"/>
    </row>
    <row r="24" spans="1:296" ht="19">
      <c r="A24" s="3"/>
      <c r="B24" s="3">
        <v>23</v>
      </c>
      <c r="C24" s="3" t="s">
        <v>218</v>
      </c>
      <c r="D24" s="3" t="s">
        <v>207</v>
      </c>
      <c r="E24" s="6" t="s">
        <v>40</v>
      </c>
      <c r="F24" s="7">
        <v>1</v>
      </c>
      <c r="G24" s="8">
        <v>0</v>
      </c>
      <c r="H24" s="8">
        <v>0</v>
      </c>
      <c r="I24" s="18"/>
      <c r="J24" s="20"/>
      <c r="K24" s="18"/>
      <c r="L24" s="18"/>
      <c r="M24" s="18"/>
      <c r="N24" s="3">
        <v>2</v>
      </c>
      <c r="O24" s="3">
        <v>2</v>
      </c>
      <c r="P24" s="13" t="s">
        <v>219</v>
      </c>
      <c r="Q24" s="3" t="s">
        <v>220</v>
      </c>
      <c r="R24" s="3" t="s">
        <v>68</v>
      </c>
      <c r="S24" s="3">
        <v>12</v>
      </c>
      <c r="T24" s="3">
        <v>1</v>
      </c>
      <c r="U24" s="3">
        <v>360</v>
      </c>
      <c r="V24" s="3">
        <v>3</v>
      </c>
      <c r="W24" s="3"/>
      <c r="X24" s="3"/>
      <c r="Y24" s="3" t="s">
        <v>126</v>
      </c>
      <c r="Z24" s="3" t="s">
        <v>211</v>
      </c>
      <c r="AA24" s="3" t="s">
        <v>212</v>
      </c>
      <c r="AB24" s="3" t="s">
        <v>213</v>
      </c>
      <c r="AC24" s="3">
        <v>27</v>
      </c>
      <c r="AD24" s="3">
        <v>9</v>
      </c>
      <c r="AE24" s="3">
        <v>18</v>
      </c>
      <c r="AF24" s="3">
        <v>0</v>
      </c>
      <c r="AG24" s="3">
        <f t="shared" si="0"/>
        <v>27</v>
      </c>
      <c r="AH24" s="3" t="s">
        <v>221</v>
      </c>
      <c r="AI24" s="12" t="s">
        <v>52</v>
      </c>
      <c r="AJ24" s="3" t="s">
        <v>215</v>
      </c>
      <c r="AK24" s="10" t="s">
        <v>216</v>
      </c>
      <c r="AL24" s="3" t="s">
        <v>217</v>
      </c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</row>
    <row r="25" spans="1:296" ht="19">
      <c r="A25" s="3"/>
      <c r="B25" s="3">
        <v>24</v>
      </c>
      <c r="C25" s="3" t="s">
        <v>222</v>
      </c>
      <c r="D25" s="3" t="s">
        <v>207</v>
      </c>
      <c r="E25" s="6" t="s">
        <v>40</v>
      </c>
      <c r="F25" s="7">
        <v>1</v>
      </c>
      <c r="G25" s="8">
        <v>0</v>
      </c>
      <c r="H25" s="8">
        <v>0</v>
      </c>
      <c r="I25" s="18"/>
      <c r="J25" s="20"/>
      <c r="K25" s="18"/>
      <c r="L25" s="18"/>
      <c r="M25" s="18"/>
      <c r="N25" s="3">
        <v>3</v>
      </c>
      <c r="O25" s="3">
        <v>3</v>
      </c>
      <c r="P25" s="3" t="s">
        <v>14</v>
      </c>
      <c r="Q25" s="3" t="s">
        <v>219</v>
      </c>
      <c r="R25" s="3" t="s">
        <v>68</v>
      </c>
      <c r="S25" s="3">
        <v>12</v>
      </c>
      <c r="T25" s="3">
        <v>1</v>
      </c>
      <c r="U25" s="3">
        <v>360</v>
      </c>
      <c r="V25" s="3">
        <v>3</v>
      </c>
      <c r="W25" s="3"/>
      <c r="X25" s="3"/>
      <c r="Y25" s="3" t="s">
        <v>126</v>
      </c>
      <c r="Z25" s="3" t="s">
        <v>211</v>
      </c>
      <c r="AA25" s="3" t="s">
        <v>212</v>
      </c>
      <c r="AB25" s="3" t="s">
        <v>213</v>
      </c>
      <c r="AC25" s="3">
        <v>27</v>
      </c>
      <c r="AD25" s="3">
        <v>12</v>
      </c>
      <c r="AE25" s="3">
        <v>15</v>
      </c>
      <c r="AF25" s="3">
        <v>0</v>
      </c>
      <c r="AG25" s="3">
        <f t="shared" si="0"/>
        <v>27</v>
      </c>
      <c r="AH25" s="3" t="s">
        <v>223</v>
      </c>
      <c r="AI25" s="12" t="s">
        <v>52</v>
      </c>
      <c r="AJ25" s="3" t="s">
        <v>215</v>
      </c>
      <c r="AK25" s="10" t="s">
        <v>216</v>
      </c>
      <c r="AL25" s="3" t="s">
        <v>217</v>
      </c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  <c r="IX25" s="3"/>
      <c r="IY25" s="3"/>
      <c r="IZ25" s="3"/>
      <c r="JA25" s="3"/>
      <c r="JB25" s="3"/>
      <c r="JC25" s="3"/>
      <c r="JD25" s="3"/>
      <c r="JE25" s="3"/>
      <c r="JF25" s="3"/>
      <c r="JG25" s="3"/>
      <c r="JH25" s="3"/>
      <c r="JI25" s="3"/>
      <c r="JJ25" s="3"/>
      <c r="JK25" s="3"/>
      <c r="JL25" s="3"/>
      <c r="JM25" s="3"/>
      <c r="JN25" s="3"/>
      <c r="JO25" s="3"/>
      <c r="JP25" s="3"/>
      <c r="JQ25" s="3"/>
      <c r="JR25" s="3"/>
      <c r="JS25" s="3"/>
      <c r="JT25" s="3"/>
      <c r="JU25" s="3"/>
      <c r="JV25" s="3"/>
      <c r="JW25" s="3"/>
      <c r="JX25" s="3"/>
      <c r="JY25" s="3"/>
      <c r="JZ25" s="3"/>
      <c r="KA25" s="3"/>
      <c r="KB25" s="3"/>
      <c r="KC25" s="3"/>
      <c r="KD25" s="3"/>
      <c r="KE25" s="3"/>
      <c r="KF25" s="3"/>
      <c r="KG25" s="3"/>
      <c r="KH25" s="3"/>
      <c r="KI25" s="3"/>
      <c r="KJ25" s="3"/>
    </row>
    <row r="26" spans="1:296" ht="19">
      <c r="A26" s="3"/>
      <c r="B26" s="3">
        <v>25</v>
      </c>
      <c r="C26" s="3" t="s">
        <v>224</v>
      </c>
      <c r="D26" s="3" t="s">
        <v>207</v>
      </c>
      <c r="E26" s="6" t="s">
        <v>40</v>
      </c>
      <c r="F26" s="7">
        <v>1</v>
      </c>
      <c r="G26" s="8">
        <v>0</v>
      </c>
      <c r="H26" s="8">
        <v>0</v>
      </c>
      <c r="I26" s="18"/>
      <c r="J26" s="20"/>
      <c r="K26" s="18"/>
      <c r="L26" s="18"/>
      <c r="M26" s="18"/>
      <c r="N26" s="3">
        <v>4</v>
      </c>
      <c r="O26" s="3">
        <v>4</v>
      </c>
      <c r="P26" s="3" t="s">
        <v>14</v>
      </c>
      <c r="Q26" s="3" t="s">
        <v>81</v>
      </c>
      <c r="R26" s="3" t="s">
        <v>68</v>
      </c>
      <c r="S26" s="3">
        <v>12</v>
      </c>
      <c r="T26" s="3">
        <v>1</v>
      </c>
      <c r="U26" s="3">
        <v>360</v>
      </c>
      <c r="V26" s="3">
        <v>3</v>
      </c>
      <c r="W26" s="3"/>
      <c r="X26" s="3"/>
      <c r="Y26" s="3" t="s">
        <v>126</v>
      </c>
      <c r="Z26" s="3" t="s">
        <v>211</v>
      </c>
      <c r="AA26" s="3" t="s">
        <v>212</v>
      </c>
      <c r="AB26" s="3" t="s">
        <v>213</v>
      </c>
      <c r="AC26" s="3">
        <v>26</v>
      </c>
      <c r="AD26" s="3">
        <v>9</v>
      </c>
      <c r="AE26" s="3">
        <v>18</v>
      </c>
      <c r="AF26" s="3">
        <v>1</v>
      </c>
      <c r="AG26" s="3">
        <f t="shared" si="0"/>
        <v>25</v>
      </c>
      <c r="AH26" s="3" t="s">
        <v>214</v>
      </c>
      <c r="AI26" s="12" t="s">
        <v>52</v>
      </c>
      <c r="AJ26" s="3" t="s">
        <v>215</v>
      </c>
      <c r="AK26" s="10" t="s">
        <v>216</v>
      </c>
      <c r="AL26" s="3" t="s">
        <v>217</v>
      </c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  <c r="IX26" s="3"/>
      <c r="IY26" s="3"/>
      <c r="IZ26" s="3"/>
      <c r="JA26" s="3"/>
      <c r="JB26" s="3"/>
      <c r="JC26" s="3"/>
      <c r="JD26" s="3"/>
      <c r="JE26" s="3"/>
      <c r="JF26" s="3"/>
      <c r="JG26" s="3"/>
      <c r="JH26" s="3"/>
      <c r="JI26" s="3"/>
      <c r="JJ26" s="3"/>
      <c r="JK26" s="3"/>
      <c r="JL26" s="3"/>
      <c r="JM26" s="3"/>
      <c r="JN26" s="3"/>
      <c r="JO26" s="3"/>
      <c r="JP26" s="3"/>
      <c r="JQ26" s="3"/>
      <c r="JR26" s="3"/>
      <c r="JS26" s="3"/>
      <c r="JT26" s="3"/>
      <c r="JU26" s="3"/>
      <c r="JV26" s="3"/>
      <c r="JW26" s="3"/>
      <c r="JX26" s="3"/>
      <c r="JY26" s="3"/>
      <c r="JZ26" s="3"/>
      <c r="KA26" s="3"/>
      <c r="KB26" s="3"/>
      <c r="KC26" s="3"/>
      <c r="KD26" s="3"/>
      <c r="KE26" s="3"/>
      <c r="KF26" s="3"/>
      <c r="KG26" s="3"/>
      <c r="KH26" s="3"/>
      <c r="KI26" s="3"/>
      <c r="KJ26" s="3"/>
    </row>
    <row r="27" spans="1:296" ht="16">
      <c r="A27" s="3"/>
      <c r="B27" s="3">
        <v>26</v>
      </c>
      <c r="C27" s="3" t="s">
        <v>225</v>
      </c>
      <c r="D27" s="3" t="s">
        <v>226</v>
      </c>
      <c r="E27" s="3"/>
      <c r="F27" s="7">
        <v>1</v>
      </c>
      <c r="G27" s="8">
        <v>0</v>
      </c>
      <c r="H27" s="8">
        <v>0</v>
      </c>
      <c r="I27" s="18" t="s">
        <v>227</v>
      </c>
      <c r="J27" s="20" t="s">
        <v>228</v>
      </c>
      <c r="K27" s="18" t="s">
        <v>229</v>
      </c>
      <c r="L27" s="18">
        <v>2020</v>
      </c>
      <c r="M27" s="18" t="s">
        <v>230</v>
      </c>
      <c r="N27" s="3">
        <v>1</v>
      </c>
      <c r="O27" s="3">
        <v>1</v>
      </c>
      <c r="P27" s="3" t="s">
        <v>14</v>
      </c>
      <c r="Q27" s="3"/>
      <c r="R27" s="3" t="s">
        <v>68</v>
      </c>
      <c r="S27" s="3">
        <v>84</v>
      </c>
      <c r="T27" s="3" t="s">
        <v>47</v>
      </c>
      <c r="U27" s="3">
        <v>128</v>
      </c>
      <c r="V27" s="3" t="s">
        <v>47</v>
      </c>
      <c r="W27" s="3"/>
      <c r="X27" s="3"/>
      <c r="Y27" s="3" t="s">
        <v>126</v>
      </c>
      <c r="Z27" s="3" t="s">
        <v>167</v>
      </c>
      <c r="AA27" s="3" t="s">
        <v>231</v>
      </c>
      <c r="AB27" s="3" t="s">
        <v>169</v>
      </c>
      <c r="AC27" s="3">
        <v>38</v>
      </c>
      <c r="AD27" s="3">
        <v>9</v>
      </c>
      <c r="AE27" s="3">
        <v>29</v>
      </c>
      <c r="AF27" s="3">
        <v>4</v>
      </c>
      <c r="AG27" s="3">
        <f t="shared" si="0"/>
        <v>34</v>
      </c>
      <c r="AH27" s="3" t="s">
        <v>232</v>
      </c>
      <c r="AI27" s="12" t="s">
        <v>52</v>
      </c>
      <c r="AJ27" s="3" t="s">
        <v>233</v>
      </c>
      <c r="AK27" s="10" t="s">
        <v>234</v>
      </c>
      <c r="AL27" s="3" t="s">
        <v>55</v>
      </c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3"/>
      <c r="JB27" s="3"/>
      <c r="JC27" s="3"/>
      <c r="JD27" s="3"/>
      <c r="JE27" s="3"/>
      <c r="JF27" s="3"/>
      <c r="JG27" s="3"/>
      <c r="JH27" s="3"/>
      <c r="JI27" s="3"/>
      <c r="JJ27" s="3"/>
      <c r="JK27" s="3"/>
      <c r="JL27" s="3"/>
      <c r="JM27" s="3"/>
      <c r="JN27" s="3"/>
      <c r="JO27" s="3"/>
      <c r="JP27" s="3"/>
      <c r="JQ27" s="3"/>
      <c r="JR27" s="3"/>
      <c r="JS27" s="3"/>
      <c r="JT27" s="3"/>
      <c r="JU27" s="3"/>
      <c r="JV27" s="3"/>
      <c r="JW27" s="3"/>
      <c r="JX27" s="3"/>
      <c r="JY27" s="3"/>
      <c r="JZ27" s="3"/>
      <c r="KA27" s="3"/>
      <c r="KB27" s="3"/>
      <c r="KC27" s="3"/>
      <c r="KD27" s="3"/>
      <c r="KE27" s="3"/>
      <c r="KF27" s="3"/>
      <c r="KG27" s="3"/>
      <c r="KH27" s="3"/>
      <c r="KI27" s="3"/>
      <c r="KJ27" s="3"/>
    </row>
    <row r="28" spans="1:296" ht="16">
      <c r="A28" s="3"/>
      <c r="B28" s="3">
        <v>27</v>
      </c>
      <c r="C28" s="3" t="s">
        <v>235</v>
      </c>
      <c r="D28" s="3" t="s">
        <v>226</v>
      </c>
      <c r="E28" s="3"/>
      <c r="F28" s="7">
        <v>1</v>
      </c>
      <c r="G28" s="8">
        <v>0</v>
      </c>
      <c r="H28" s="8">
        <v>0</v>
      </c>
      <c r="I28" s="18"/>
      <c r="J28" s="20"/>
      <c r="K28" s="18"/>
      <c r="L28" s="18"/>
      <c r="M28" s="18"/>
      <c r="N28" s="3">
        <v>2</v>
      </c>
      <c r="O28" s="3">
        <v>2</v>
      </c>
      <c r="P28" s="3" t="s">
        <v>14</v>
      </c>
      <c r="Q28" s="3"/>
      <c r="R28" s="3" t="s">
        <v>68</v>
      </c>
      <c r="S28" s="3">
        <v>24</v>
      </c>
      <c r="T28" s="3" t="s">
        <v>47</v>
      </c>
      <c r="U28" s="3">
        <v>240</v>
      </c>
      <c r="V28" s="3" t="s">
        <v>47</v>
      </c>
      <c r="W28" s="3"/>
      <c r="X28" s="3"/>
      <c r="Y28" s="3" t="s">
        <v>126</v>
      </c>
      <c r="Z28" s="3" t="s">
        <v>167</v>
      </c>
      <c r="AA28" s="3" t="s">
        <v>231</v>
      </c>
      <c r="AB28" s="3" t="s">
        <v>169</v>
      </c>
      <c r="AC28" s="3">
        <v>33</v>
      </c>
      <c r="AD28" s="3">
        <v>7</v>
      </c>
      <c r="AE28" s="3">
        <v>26</v>
      </c>
      <c r="AF28" s="3">
        <v>2</v>
      </c>
      <c r="AG28" s="3">
        <f t="shared" si="0"/>
        <v>31</v>
      </c>
      <c r="AH28" s="3" t="s">
        <v>236</v>
      </c>
      <c r="AI28" s="12" t="s">
        <v>52</v>
      </c>
      <c r="AJ28" s="3" t="s">
        <v>233</v>
      </c>
      <c r="AK28" s="10" t="s">
        <v>234</v>
      </c>
      <c r="AL28" s="3" t="s">
        <v>55</v>
      </c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  <c r="IY28" s="3"/>
      <c r="IZ28" s="3"/>
      <c r="JA28" s="3"/>
      <c r="JB28" s="3"/>
      <c r="JC28" s="3"/>
      <c r="JD28" s="3"/>
      <c r="JE28" s="3"/>
      <c r="JF28" s="3"/>
      <c r="JG28" s="3"/>
      <c r="JH28" s="3"/>
      <c r="JI28" s="3"/>
      <c r="JJ28" s="3"/>
      <c r="JK28" s="3"/>
      <c r="JL28" s="3"/>
      <c r="JM28" s="3"/>
      <c r="JN28" s="3"/>
      <c r="JO28" s="3"/>
      <c r="JP28" s="3"/>
      <c r="JQ28" s="3"/>
      <c r="JR28" s="3"/>
      <c r="JS28" s="3"/>
      <c r="JT28" s="3"/>
      <c r="JU28" s="3"/>
      <c r="JV28" s="3"/>
      <c r="JW28" s="3"/>
      <c r="JX28" s="3"/>
      <c r="JY28" s="3"/>
      <c r="JZ28" s="3"/>
      <c r="KA28" s="3"/>
      <c r="KB28" s="3"/>
      <c r="KC28" s="3"/>
      <c r="KD28" s="3"/>
      <c r="KE28" s="3"/>
      <c r="KF28" s="3"/>
      <c r="KG28" s="3"/>
      <c r="KH28" s="3"/>
      <c r="KI28" s="3"/>
      <c r="KJ28" s="3"/>
    </row>
    <row r="29" spans="1:296" ht="16">
      <c r="A29" s="3"/>
      <c r="B29" s="3">
        <v>28</v>
      </c>
      <c r="C29" s="3" t="s">
        <v>237</v>
      </c>
      <c r="D29" s="3" t="s">
        <v>226</v>
      </c>
      <c r="E29" s="3"/>
      <c r="F29" s="7">
        <v>1</v>
      </c>
      <c r="G29" s="8">
        <v>0</v>
      </c>
      <c r="H29" s="8">
        <v>0</v>
      </c>
      <c r="I29" s="18"/>
      <c r="J29" s="20"/>
      <c r="K29" s="18"/>
      <c r="L29" s="18"/>
      <c r="M29" s="18"/>
      <c r="N29" s="3">
        <v>3</v>
      </c>
      <c r="O29" s="3">
        <v>3</v>
      </c>
      <c r="P29" s="3" t="s">
        <v>14</v>
      </c>
      <c r="Q29" s="3"/>
      <c r="R29" s="3" t="s">
        <v>68</v>
      </c>
      <c r="S29" s="3">
        <v>24</v>
      </c>
      <c r="T29" s="3" t="s">
        <v>47</v>
      </c>
      <c r="U29" s="3">
        <v>240</v>
      </c>
      <c r="V29" s="3" t="s">
        <v>47</v>
      </c>
      <c r="W29" s="3"/>
      <c r="X29" s="3"/>
      <c r="Y29" s="3" t="s">
        <v>126</v>
      </c>
      <c r="Z29" s="3" t="s">
        <v>167</v>
      </c>
      <c r="AA29" s="3" t="s">
        <v>231</v>
      </c>
      <c r="AB29" s="3" t="s">
        <v>169</v>
      </c>
      <c r="AC29" s="3">
        <v>36</v>
      </c>
      <c r="AD29" s="3">
        <v>7</v>
      </c>
      <c r="AE29" s="3">
        <v>29</v>
      </c>
      <c r="AF29" s="3">
        <v>1</v>
      </c>
      <c r="AG29" s="3">
        <f t="shared" si="0"/>
        <v>35</v>
      </c>
      <c r="AH29" s="3" t="s">
        <v>238</v>
      </c>
      <c r="AI29" s="12" t="s">
        <v>52</v>
      </c>
      <c r="AJ29" s="3" t="s">
        <v>233</v>
      </c>
      <c r="AK29" s="10" t="s">
        <v>234</v>
      </c>
      <c r="AL29" s="3" t="s">
        <v>55</v>
      </c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  <c r="IY29" s="3"/>
      <c r="IZ29" s="3"/>
      <c r="JA29" s="3"/>
      <c r="JB29" s="3"/>
      <c r="JC29" s="3"/>
      <c r="JD29" s="3"/>
      <c r="JE29" s="3"/>
      <c r="JF29" s="3"/>
      <c r="JG29" s="3"/>
      <c r="JH29" s="3"/>
      <c r="JI29" s="3"/>
      <c r="JJ29" s="3"/>
      <c r="JK29" s="3"/>
      <c r="JL29" s="3"/>
      <c r="JM29" s="3"/>
      <c r="JN29" s="3"/>
      <c r="JO29" s="3"/>
      <c r="JP29" s="3"/>
      <c r="JQ29" s="3"/>
      <c r="JR29" s="3"/>
      <c r="JS29" s="3"/>
      <c r="JT29" s="3"/>
      <c r="JU29" s="3"/>
      <c r="JV29" s="3"/>
      <c r="JW29" s="3"/>
      <c r="JX29" s="3"/>
      <c r="JY29" s="3"/>
      <c r="JZ29" s="3"/>
      <c r="KA29" s="3"/>
      <c r="KB29" s="3"/>
      <c r="KC29" s="3"/>
      <c r="KD29" s="3"/>
      <c r="KE29" s="3"/>
      <c r="KF29" s="3"/>
      <c r="KG29" s="3"/>
      <c r="KH29" s="3"/>
      <c r="KI29" s="3"/>
      <c r="KJ29" s="3"/>
    </row>
    <row r="30" spans="1:296" ht="19">
      <c r="A30" s="3"/>
      <c r="B30" s="3">
        <v>29</v>
      </c>
      <c r="C30" s="3" t="s">
        <v>239</v>
      </c>
      <c r="D30" s="3" t="s">
        <v>240</v>
      </c>
      <c r="E30" s="6" t="s">
        <v>40</v>
      </c>
      <c r="F30" s="7">
        <v>1</v>
      </c>
      <c r="G30" s="8">
        <v>0</v>
      </c>
      <c r="H30" s="8">
        <v>0</v>
      </c>
      <c r="I30" s="18" t="s">
        <v>241</v>
      </c>
      <c r="J30" s="20" t="s">
        <v>242</v>
      </c>
      <c r="K30" s="18" t="s">
        <v>243</v>
      </c>
      <c r="L30" s="18">
        <v>2022</v>
      </c>
      <c r="M30" s="18" t="s">
        <v>244</v>
      </c>
      <c r="N30" s="3">
        <v>1</v>
      </c>
      <c r="O30" s="3">
        <v>1</v>
      </c>
      <c r="P30" s="3" t="s">
        <v>14</v>
      </c>
      <c r="Q30" s="3" t="s">
        <v>81</v>
      </c>
      <c r="R30" s="3"/>
      <c r="S30" s="3">
        <v>10</v>
      </c>
      <c r="T30" s="3" t="s">
        <v>47</v>
      </c>
      <c r="U30" s="3">
        <v>200</v>
      </c>
      <c r="V30" s="3">
        <v>4</v>
      </c>
      <c r="W30" s="3"/>
      <c r="X30" s="3"/>
      <c r="Y30" s="3"/>
      <c r="Z30" s="3" t="s">
        <v>71</v>
      </c>
      <c r="AA30" s="3" t="s">
        <v>245</v>
      </c>
      <c r="AB30" s="3" t="s">
        <v>62</v>
      </c>
      <c r="AC30" s="3">
        <v>20</v>
      </c>
      <c r="AD30" s="3">
        <v>6</v>
      </c>
      <c r="AE30" s="3">
        <v>14</v>
      </c>
      <c r="AF30" s="3">
        <v>0</v>
      </c>
      <c r="AG30" s="3">
        <f t="shared" ref="AG30:AG43" si="1">AC30-AF30</f>
        <v>20</v>
      </c>
      <c r="AH30" s="3" t="s">
        <v>246</v>
      </c>
      <c r="AI30" s="12" t="s">
        <v>52</v>
      </c>
      <c r="AJ30" s="3" t="s">
        <v>247</v>
      </c>
      <c r="AK30" s="10" t="s">
        <v>248</v>
      </c>
      <c r="AL30" s="3" t="s">
        <v>55</v>
      </c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  <c r="IY30" s="3"/>
      <c r="IZ30" s="3"/>
      <c r="JA30" s="3"/>
      <c r="JB30" s="3"/>
      <c r="JC30" s="3"/>
      <c r="JD30" s="3"/>
      <c r="JE30" s="3"/>
      <c r="JF30" s="3"/>
      <c r="JG30" s="3"/>
      <c r="JH30" s="3"/>
      <c r="JI30" s="3"/>
      <c r="JJ30" s="3"/>
      <c r="JK30" s="3"/>
      <c r="JL30" s="3"/>
      <c r="JM30" s="3"/>
      <c r="JN30" s="3"/>
      <c r="JO30" s="3"/>
      <c r="JP30" s="3"/>
      <c r="JQ30" s="3"/>
      <c r="JR30" s="3"/>
      <c r="JS30" s="3"/>
      <c r="JT30" s="3"/>
      <c r="JU30" s="3"/>
      <c r="JV30" s="3"/>
      <c r="JW30" s="3"/>
      <c r="JX30" s="3"/>
      <c r="JY30" s="3"/>
      <c r="JZ30" s="3"/>
      <c r="KA30" s="3"/>
      <c r="KB30" s="3"/>
      <c r="KC30" s="3"/>
      <c r="KD30" s="3"/>
      <c r="KE30" s="3"/>
      <c r="KF30" s="3"/>
      <c r="KG30" s="3"/>
      <c r="KH30" s="3"/>
      <c r="KI30" s="3"/>
      <c r="KJ30" s="3"/>
    </row>
    <row r="31" spans="1:296" ht="19">
      <c r="A31" s="3"/>
      <c r="B31" s="3">
        <v>30</v>
      </c>
      <c r="C31" s="3" t="s">
        <v>249</v>
      </c>
      <c r="D31" s="3" t="s">
        <v>240</v>
      </c>
      <c r="E31" s="6" t="s">
        <v>40</v>
      </c>
      <c r="F31" s="7">
        <v>1</v>
      </c>
      <c r="G31" s="8">
        <v>0</v>
      </c>
      <c r="H31" s="8">
        <v>0</v>
      </c>
      <c r="I31" s="18"/>
      <c r="J31" s="20"/>
      <c r="K31" s="18"/>
      <c r="L31" s="18"/>
      <c r="M31" s="18"/>
      <c r="N31" s="3">
        <v>2</v>
      </c>
      <c r="O31" s="3">
        <v>2</v>
      </c>
      <c r="P31" s="3" t="s">
        <v>14</v>
      </c>
      <c r="Q31" s="3" t="s">
        <v>81</v>
      </c>
      <c r="R31" s="3"/>
      <c r="S31" s="3">
        <v>10</v>
      </c>
      <c r="T31" s="3" t="s">
        <v>47</v>
      </c>
      <c r="U31" s="3">
        <v>400</v>
      </c>
      <c r="V31" s="3">
        <v>2</v>
      </c>
      <c r="W31" s="3" t="s">
        <v>250</v>
      </c>
      <c r="X31" s="3"/>
      <c r="Y31" s="3"/>
      <c r="Z31" s="3" t="s">
        <v>71</v>
      </c>
      <c r="AA31" s="3" t="s">
        <v>245</v>
      </c>
      <c r="AB31" s="3" t="s">
        <v>62</v>
      </c>
      <c r="AC31" s="3">
        <v>24</v>
      </c>
      <c r="AD31" s="3">
        <v>8</v>
      </c>
      <c r="AE31" s="3">
        <v>16</v>
      </c>
      <c r="AF31" s="3">
        <v>0</v>
      </c>
      <c r="AG31" s="3">
        <f t="shared" si="1"/>
        <v>24</v>
      </c>
      <c r="AH31" s="3" t="s">
        <v>251</v>
      </c>
      <c r="AI31" s="12" t="s">
        <v>52</v>
      </c>
      <c r="AJ31" s="3" t="s">
        <v>247</v>
      </c>
      <c r="AK31" s="10" t="s">
        <v>248</v>
      </c>
      <c r="AL31" s="3" t="s">
        <v>55</v>
      </c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3"/>
      <c r="JB31" s="3"/>
      <c r="JC31" s="3"/>
      <c r="JD31" s="3"/>
      <c r="JE31" s="3"/>
      <c r="JF31" s="3"/>
      <c r="JG31" s="3"/>
      <c r="JH31" s="3"/>
      <c r="JI31" s="3"/>
      <c r="JJ31" s="3"/>
      <c r="JK31" s="3"/>
      <c r="JL31" s="3"/>
      <c r="JM31" s="3"/>
      <c r="JN31" s="3"/>
      <c r="JO31" s="3"/>
      <c r="JP31" s="3"/>
      <c r="JQ31" s="3"/>
      <c r="JR31" s="3"/>
      <c r="JS31" s="3"/>
      <c r="JT31" s="3"/>
      <c r="JU31" s="3"/>
      <c r="JV31" s="3"/>
      <c r="JW31" s="3"/>
      <c r="JX31" s="3"/>
      <c r="JY31" s="3"/>
      <c r="JZ31" s="3"/>
      <c r="KA31" s="3"/>
      <c r="KB31" s="3"/>
      <c r="KC31" s="3"/>
      <c r="KD31" s="3"/>
      <c r="KE31" s="3"/>
      <c r="KF31" s="3"/>
      <c r="KG31" s="3"/>
      <c r="KH31" s="3"/>
      <c r="KI31" s="3"/>
      <c r="KJ31" s="3"/>
    </row>
    <row r="32" spans="1:296" ht="19">
      <c r="A32" s="3"/>
      <c r="B32" s="3">
        <v>31</v>
      </c>
      <c r="C32" s="3" t="s">
        <v>252</v>
      </c>
      <c r="D32" s="3" t="s">
        <v>240</v>
      </c>
      <c r="E32" s="6" t="s">
        <v>40</v>
      </c>
      <c r="F32" s="7">
        <v>1</v>
      </c>
      <c r="G32" s="8">
        <v>0</v>
      </c>
      <c r="H32" s="8">
        <v>0</v>
      </c>
      <c r="I32" s="18"/>
      <c r="J32" s="20"/>
      <c r="K32" s="18"/>
      <c r="L32" s="18"/>
      <c r="M32" s="18"/>
      <c r="N32" s="3">
        <v>3</v>
      </c>
      <c r="O32" s="3">
        <v>3</v>
      </c>
      <c r="P32" s="3" t="s">
        <v>14</v>
      </c>
      <c r="Q32" s="3" t="s">
        <v>81</v>
      </c>
      <c r="R32" s="3"/>
      <c r="S32" s="3">
        <v>10</v>
      </c>
      <c r="T32" s="3" t="s">
        <v>47</v>
      </c>
      <c r="U32" s="3">
        <v>400</v>
      </c>
      <c r="V32" s="3">
        <v>2</v>
      </c>
      <c r="W32" s="3" t="s">
        <v>253</v>
      </c>
      <c r="X32" s="3"/>
      <c r="Y32" s="3"/>
      <c r="Z32" s="3" t="s">
        <v>71</v>
      </c>
      <c r="AA32" s="3" t="s">
        <v>245</v>
      </c>
      <c r="AB32" s="3" t="s">
        <v>62</v>
      </c>
      <c r="AC32" s="3">
        <v>25</v>
      </c>
      <c r="AD32" s="3">
        <v>7</v>
      </c>
      <c r="AE32" s="3">
        <v>18</v>
      </c>
      <c r="AF32" s="3">
        <v>0</v>
      </c>
      <c r="AG32" s="3">
        <f t="shared" si="1"/>
        <v>25</v>
      </c>
      <c r="AH32" s="3" t="s">
        <v>254</v>
      </c>
      <c r="AI32" s="12" t="s">
        <v>52</v>
      </c>
      <c r="AJ32" s="3" t="s">
        <v>247</v>
      </c>
      <c r="AK32" s="10" t="s">
        <v>248</v>
      </c>
      <c r="AL32" s="3" t="s">
        <v>55</v>
      </c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3"/>
      <c r="JB32" s="3"/>
      <c r="JC32" s="3"/>
      <c r="JD32" s="3"/>
      <c r="JE32" s="3"/>
      <c r="JF32" s="3"/>
      <c r="JG32" s="3"/>
      <c r="JH32" s="3"/>
      <c r="JI32" s="3"/>
      <c r="JJ32" s="3"/>
      <c r="JK32" s="3"/>
      <c r="JL32" s="3"/>
      <c r="JM32" s="3"/>
      <c r="JN32" s="3"/>
      <c r="JO32" s="3"/>
      <c r="JP32" s="3"/>
      <c r="JQ32" s="3"/>
      <c r="JR32" s="3"/>
      <c r="JS32" s="3"/>
      <c r="JT32" s="3"/>
      <c r="JU32" s="3"/>
      <c r="JV32" s="3"/>
      <c r="JW32" s="3"/>
      <c r="JX32" s="3"/>
      <c r="JY32" s="3"/>
      <c r="JZ32" s="3"/>
      <c r="KA32" s="3"/>
      <c r="KB32" s="3"/>
      <c r="KC32" s="3"/>
      <c r="KD32" s="3"/>
      <c r="KE32" s="3"/>
      <c r="KF32" s="3"/>
      <c r="KG32" s="3"/>
      <c r="KH32" s="3"/>
      <c r="KI32" s="3"/>
      <c r="KJ32" s="3"/>
    </row>
    <row r="33" spans="1:296" ht="34">
      <c r="A33" s="3"/>
      <c r="B33" s="3">
        <v>32</v>
      </c>
      <c r="C33" s="3" t="s">
        <v>255</v>
      </c>
      <c r="D33" s="3" t="s">
        <v>256</v>
      </c>
      <c r="E33" s="6" t="s">
        <v>40</v>
      </c>
      <c r="F33" s="7">
        <v>1</v>
      </c>
      <c r="G33" s="8">
        <v>0</v>
      </c>
      <c r="H33" s="8">
        <v>0</v>
      </c>
      <c r="I33" s="1" t="s">
        <v>257</v>
      </c>
      <c r="J33" s="9" t="s">
        <v>258</v>
      </c>
      <c r="K33" s="1" t="s">
        <v>259</v>
      </c>
      <c r="L33" s="1">
        <v>2021</v>
      </c>
      <c r="M33" s="1" t="s">
        <v>260</v>
      </c>
      <c r="N33" s="3">
        <v>1</v>
      </c>
      <c r="O33" s="3">
        <v>1</v>
      </c>
      <c r="P33" s="3" t="s">
        <v>14</v>
      </c>
      <c r="Q33" s="3" t="s">
        <v>81</v>
      </c>
      <c r="R33" s="3" t="s">
        <v>68</v>
      </c>
      <c r="S33" s="3">
        <v>12</v>
      </c>
      <c r="T33" s="3" t="s">
        <v>47</v>
      </c>
      <c r="U33" s="3">
        <v>360</v>
      </c>
      <c r="V33" s="3">
        <v>3</v>
      </c>
      <c r="W33" t="s">
        <v>261</v>
      </c>
      <c r="X33" s="3"/>
      <c r="Y33" s="3" t="s">
        <v>126</v>
      </c>
      <c r="Z33" s="3" t="s">
        <v>100</v>
      </c>
      <c r="AA33" s="3" t="s">
        <v>262</v>
      </c>
      <c r="AB33" s="3" t="s">
        <v>102</v>
      </c>
      <c r="AC33" s="3">
        <v>105</v>
      </c>
      <c r="AD33" s="3">
        <v>51</v>
      </c>
      <c r="AE33" s="3">
        <v>54</v>
      </c>
      <c r="AF33" s="3">
        <v>0</v>
      </c>
      <c r="AG33" s="3">
        <f t="shared" si="1"/>
        <v>105</v>
      </c>
      <c r="AH33" s="3" t="s">
        <v>263</v>
      </c>
      <c r="AI33" s="12" t="s">
        <v>52</v>
      </c>
      <c r="AJ33" s="3" t="s">
        <v>264</v>
      </c>
      <c r="AK33" s="11" t="s">
        <v>265</v>
      </c>
      <c r="AL33" s="3" t="s">
        <v>117</v>
      </c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</row>
    <row r="34" spans="1:296" ht="17" customHeight="1">
      <c r="A34" s="3" t="s">
        <v>178</v>
      </c>
      <c r="B34" s="3">
        <v>33</v>
      </c>
      <c r="C34" s="3" t="s">
        <v>266</v>
      </c>
      <c r="D34" s="3" t="s">
        <v>267</v>
      </c>
      <c r="E34" s="6" t="s">
        <v>40</v>
      </c>
      <c r="F34" s="7">
        <v>1</v>
      </c>
      <c r="G34" t="s">
        <v>120</v>
      </c>
      <c r="H34" s="8">
        <v>0</v>
      </c>
      <c r="I34" s="1" t="s">
        <v>268</v>
      </c>
      <c r="J34" s="9" t="s">
        <v>269</v>
      </c>
      <c r="K34" s="1" t="s">
        <v>270</v>
      </c>
      <c r="L34" s="1">
        <v>2023</v>
      </c>
      <c r="M34" s="1" t="s">
        <v>271</v>
      </c>
      <c r="N34" s="3">
        <v>1</v>
      </c>
      <c r="O34" s="3">
        <v>1</v>
      </c>
      <c r="P34" s="3" t="s">
        <v>14</v>
      </c>
      <c r="Q34" s="3"/>
      <c r="R34" s="3" t="s">
        <v>68</v>
      </c>
      <c r="S34" s="3">
        <v>1</v>
      </c>
      <c r="T34" s="3" t="s">
        <v>47</v>
      </c>
      <c r="U34" s="3">
        <v>64</v>
      </c>
      <c r="V34" s="3" t="s">
        <v>47</v>
      </c>
      <c r="W34" s="3"/>
      <c r="X34" s="3"/>
      <c r="Y34" s="3" t="s">
        <v>272</v>
      </c>
      <c r="Z34" s="3" t="s">
        <v>71</v>
      </c>
      <c r="AA34" s="3" t="s">
        <v>273</v>
      </c>
      <c r="AB34" s="3" t="s">
        <v>62</v>
      </c>
      <c r="AC34" s="3">
        <v>302</v>
      </c>
      <c r="AD34" s="3">
        <v>132</v>
      </c>
      <c r="AE34" s="3">
        <v>161</v>
      </c>
      <c r="AF34" s="3">
        <v>3</v>
      </c>
      <c r="AG34" s="3">
        <f t="shared" si="1"/>
        <v>299</v>
      </c>
      <c r="AH34" s="3" t="s">
        <v>274</v>
      </c>
      <c r="AI34" s="3" t="s">
        <v>178</v>
      </c>
      <c r="AJ34" s="3" t="s">
        <v>275</v>
      </c>
      <c r="AK34" s="10" t="s">
        <v>276</v>
      </c>
      <c r="AL34" s="3" t="s">
        <v>117</v>
      </c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</row>
    <row r="35" spans="1:296" ht="19">
      <c r="A35" s="3" t="s">
        <v>277</v>
      </c>
      <c r="B35" s="3">
        <v>34</v>
      </c>
      <c r="C35" s="3" t="s">
        <v>278</v>
      </c>
      <c r="D35" s="3" t="s">
        <v>279</v>
      </c>
      <c r="E35" s="6" t="s">
        <v>40</v>
      </c>
      <c r="F35" s="7">
        <v>1</v>
      </c>
      <c r="G35" s="8">
        <v>0</v>
      </c>
      <c r="H35" s="8">
        <v>0</v>
      </c>
      <c r="I35" s="18" t="s">
        <v>94</v>
      </c>
      <c r="J35" s="20" t="s">
        <v>95</v>
      </c>
      <c r="K35" s="1" t="s">
        <v>96</v>
      </c>
      <c r="L35" s="1">
        <v>2023</v>
      </c>
      <c r="M35" s="1"/>
      <c r="N35" s="3">
        <v>1</v>
      </c>
      <c r="O35" s="3" t="s">
        <v>280</v>
      </c>
      <c r="P35" s="3" t="s">
        <v>14</v>
      </c>
      <c r="Q35" s="3"/>
      <c r="R35" s="3" t="s">
        <v>68</v>
      </c>
      <c r="S35" s="3" t="s">
        <v>47</v>
      </c>
      <c r="T35" s="3" t="s">
        <v>47</v>
      </c>
      <c r="U35" s="3">
        <v>90</v>
      </c>
      <c r="V35" s="3">
        <v>2</v>
      </c>
      <c r="W35" s="3" t="s">
        <v>281</v>
      </c>
      <c r="X35" s="3"/>
      <c r="Y35" s="3"/>
      <c r="Z35" s="3" t="s">
        <v>100</v>
      </c>
      <c r="AA35" s="3" t="s">
        <v>101</v>
      </c>
      <c r="AB35" s="3" t="s">
        <v>102</v>
      </c>
      <c r="AC35" s="3">
        <v>23</v>
      </c>
      <c r="AD35" s="3" t="s">
        <v>170</v>
      </c>
      <c r="AE35" s="3"/>
      <c r="AF35" s="3">
        <v>1</v>
      </c>
      <c r="AG35" s="3">
        <f t="shared" si="1"/>
        <v>22</v>
      </c>
      <c r="AH35" s="3" t="s">
        <v>282</v>
      </c>
      <c r="AI35" s="3" t="s">
        <v>52</v>
      </c>
      <c r="AJ35" s="3" t="s">
        <v>283</v>
      </c>
      <c r="AK35" s="10" t="s">
        <v>284</v>
      </c>
      <c r="AL35" s="3" t="s">
        <v>285</v>
      </c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</row>
    <row r="36" spans="1:296" ht="16" customHeight="1">
      <c r="A36" s="3" t="s">
        <v>286</v>
      </c>
      <c r="B36" s="3">
        <v>35</v>
      </c>
      <c r="C36" s="3" t="s">
        <v>287</v>
      </c>
      <c r="D36" s="3" t="s">
        <v>288</v>
      </c>
      <c r="E36" s="6" t="s">
        <v>40</v>
      </c>
      <c r="F36" s="7">
        <v>1</v>
      </c>
      <c r="G36" s="8">
        <v>0</v>
      </c>
      <c r="H36" s="8">
        <v>0</v>
      </c>
      <c r="I36" s="18"/>
      <c r="J36" s="20"/>
      <c r="K36" s="18" t="s">
        <v>289</v>
      </c>
      <c r="L36" s="1">
        <v>2014</v>
      </c>
      <c r="M36" s="1"/>
      <c r="N36" s="3">
        <v>1</v>
      </c>
      <c r="O36" s="3" t="s">
        <v>47</v>
      </c>
      <c r="P36" s="3" t="s">
        <v>14</v>
      </c>
      <c r="Q36" s="3" t="s">
        <v>81</v>
      </c>
      <c r="R36" s="3" t="s">
        <v>68</v>
      </c>
      <c r="S36" s="3"/>
      <c r="T36" s="3"/>
      <c r="U36" s="3">
        <v>40</v>
      </c>
      <c r="V36" s="3"/>
      <c r="W36" s="3"/>
      <c r="X36" s="3"/>
      <c r="Y36" s="3"/>
      <c r="Z36" s="3" t="s">
        <v>100</v>
      </c>
      <c r="AA36" s="3" t="s">
        <v>101</v>
      </c>
      <c r="AB36" s="3" t="s">
        <v>102</v>
      </c>
      <c r="AC36" s="3">
        <v>24</v>
      </c>
      <c r="AD36" s="3" t="s">
        <v>170</v>
      </c>
      <c r="AE36" s="3"/>
      <c r="AF36" s="3">
        <v>0</v>
      </c>
      <c r="AG36" s="3">
        <f t="shared" si="1"/>
        <v>24</v>
      </c>
      <c r="AH36" s="3"/>
      <c r="AI36" s="3" t="s">
        <v>52</v>
      </c>
      <c r="AJ36" s="3" t="s">
        <v>290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</row>
    <row r="37" spans="1:296" ht="19">
      <c r="A37" s="3" t="s">
        <v>286</v>
      </c>
      <c r="B37" s="3">
        <v>36</v>
      </c>
      <c r="C37" s="3" t="s">
        <v>291</v>
      </c>
      <c r="D37" s="3" t="s">
        <v>292</v>
      </c>
      <c r="E37" s="6" t="s">
        <v>40</v>
      </c>
      <c r="F37" s="7">
        <v>1</v>
      </c>
      <c r="G37" s="8">
        <v>0</v>
      </c>
      <c r="H37" s="8">
        <v>0</v>
      </c>
      <c r="I37" s="18"/>
      <c r="J37" s="20"/>
      <c r="K37" s="18"/>
      <c r="L37" s="18">
        <v>2015</v>
      </c>
      <c r="M37" s="1"/>
      <c r="N37" s="3">
        <v>1</v>
      </c>
      <c r="O37" s="3" t="s">
        <v>47</v>
      </c>
      <c r="P37" s="3" t="s">
        <v>14</v>
      </c>
      <c r="Q37" s="3" t="s">
        <v>81</v>
      </c>
      <c r="R37" s="3" t="s">
        <v>68</v>
      </c>
      <c r="S37" s="3"/>
      <c r="T37" s="3"/>
      <c r="U37" s="3">
        <v>40</v>
      </c>
      <c r="V37" s="3"/>
      <c r="W37" s="3"/>
      <c r="X37" s="3"/>
      <c r="Y37" s="3"/>
      <c r="Z37" s="3" t="s">
        <v>100</v>
      </c>
      <c r="AA37" s="3" t="s">
        <v>101</v>
      </c>
      <c r="AB37" s="3" t="s">
        <v>102</v>
      </c>
      <c r="AC37" s="3">
        <v>20</v>
      </c>
      <c r="AD37" s="3" t="s">
        <v>170</v>
      </c>
      <c r="AE37" s="3"/>
      <c r="AF37" s="3">
        <v>0</v>
      </c>
      <c r="AG37" s="3">
        <f t="shared" si="1"/>
        <v>20</v>
      </c>
      <c r="AH37" s="3"/>
      <c r="AI37" s="3" t="s">
        <v>52</v>
      </c>
      <c r="AJ37" s="3" t="s">
        <v>293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</row>
    <row r="38" spans="1:296" ht="19">
      <c r="A38" s="3" t="s">
        <v>286</v>
      </c>
      <c r="B38" s="3">
        <v>37</v>
      </c>
      <c r="C38" s="3" t="s">
        <v>294</v>
      </c>
      <c r="D38" s="3" t="s">
        <v>292</v>
      </c>
      <c r="E38" s="6" t="s">
        <v>40</v>
      </c>
      <c r="F38" s="7">
        <v>1</v>
      </c>
      <c r="G38" s="8">
        <v>0</v>
      </c>
      <c r="H38" s="8">
        <v>0</v>
      </c>
      <c r="I38" s="18"/>
      <c r="J38" s="20"/>
      <c r="K38" s="18"/>
      <c r="L38" s="18"/>
      <c r="M38" s="1"/>
      <c r="N38" s="3">
        <v>2</v>
      </c>
      <c r="O38" s="3" t="s">
        <v>47</v>
      </c>
      <c r="P38" s="3" t="s">
        <v>14</v>
      </c>
      <c r="Q38" s="3" t="s">
        <v>81</v>
      </c>
      <c r="R38" s="3" t="s">
        <v>68</v>
      </c>
      <c r="S38" s="3"/>
      <c r="T38" s="3"/>
      <c r="U38" s="3">
        <v>40</v>
      </c>
      <c r="V38" s="3"/>
      <c r="W38" s="3"/>
      <c r="X38" s="3"/>
      <c r="Y38" s="3"/>
      <c r="Z38" s="3" t="s">
        <v>100</v>
      </c>
      <c r="AA38" s="3" t="s">
        <v>101</v>
      </c>
      <c r="AB38" s="3" t="s">
        <v>102</v>
      </c>
      <c r="AC38" s="3">
        <v>21</v>
      </c>
      <c r="AD38" s="3" t="s">
        <v>170</v>
      </c>
      <c r="AE38" s="3"/>
      <c r="AF38" s="3">
        <v>0</v>
      </c>
      <c r="AG38" s="3">
        <f t="shared" si="1"/>
        <v>21</v>
      </c>
      <c r="AH38" s="3"/>
      <c r="AI38" s="3" t="s">
        <v>129</v>
      </c>
      <c r="AJ38" s="3" t="s">
        <v>293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</row>
    <row r="39" spans="1:296" ht="19">
      <c r="A39" s="3" t="s">
        <v>295</v>
      </c>
      <c r="B39" s="3">
        <v>38</v>
      </c>
      <c r="C39" s="3" t="s">
        <v>296</v>
      </c>
      <c r="D39" s="3" t="s">
        <v>297</v>
      </c>
      <c r="E39" s="6" t="s">
        <v>40</v>
      </c>
      <c r="F39" s="7">
        <v>1</v>
      </c>
      <c r="G39" s="8">
        <v>0</v>
      </c>
      <c r="H39" s="8">
        <v>0</v>
      </c>
      <c r="I39" s="18"/>
      <c r="J39" s="20"/>
      <c r="K39" s="18" t="s">
        <v>298</v>
      </c>
      <c r="L39" s="18">
        <v>2014</v>
      </c>
      <c r="M39" s="18" t="s">
        <v>299</v>
      </c>
      <c r="N39" s="3">
        <v>1</v>
      </c>
      <c r="O39" s="3">
        <v>1</v>
      </c>
      <c r="P39" s="3" t="s">
        <v>14</v>
      </c>
      <c r="Q39" s="3" t="s">
        <v>300</v>
      </c>
      <c r="R39" s="3" t="s">
        <v>68</v>
      </c>
      <c r="S39" s="3"/>
      <c r="T39" s="3"/>
      <c r="U39" s="3">
        <v>60</v>
      </c>
      <c r="V39" s="3"/>
      <c r="W39" s="3" t="s">
        <v>301</v>
      </c>
      <c r="X39" s="3"/>
      <c r="Y39" s="3"/>
      <c r="Z39" s="3" t="s">
        <v>100</v>
      </c>
      <c r="AA39" s="3" t="s">
        <v>302</v>
      </c>
      <c r="AB39" s="3" t="s">
        <v>102</v>
      </c>
      <c r="AC39" s="3">
        <v>24</v>
      </c>
      <c r="AD39" s="3" t="s">
        <v>170</v>
      </c>
      <c r="AE39" s="3"/>
      <c r="AF39" s="3">
        <v>0</v>
      </c>
      <c r="AG39" s="3">
        <f t="shared" si="1"/>
        <v>24</v>
      </c>
      <c r="AH39" s="3"/>
      <c r="AI39" s="3" t="s">
        <v>52</v>
      </c>
      <c r="AJ39" s="3" t="s">
        <v>303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</row>
    <row r="40" spans="1:296" ht="19">
      <c r="A40" s="3" t="s">
        <v>304</v>
      </c>
      <c r="B40" s="3">
        <v>39</v>
      </c>
      <c r="C40" s="3" t="s">
        <v>305</v>
      </c>
      <c r="D40" s="3" t="s">
        <v>297</v>
      </c>
      <c r="E40" s="6" t="s">
        <v>40</v>
      </c>
      <c r="F40" s="7">
        <v>1</v>
      </c>
      <c r="G40" s="8">
        <v>0</v>
      </c>
      <c r="H40" s="8">
        <v>0</v>
      </c>
      <c r="I40" s="18"/>
      <c r="J40" s="20"/>
      <c r="K40" s="18"/>
      <c r="L40" s="18"/>
      <c r="M40" s="18"/>
      <c r="N40" s="3">
        <v>2</v>
      </c>
      <c r="O40" s="3">
        <v>2</v>
      </c>
      <c r="P40" s="3" t="s">
        <v>14</v>
      </c>
      <c r="Q40" s="3" t="s">
        <v>300</v>
      </c>
      <c r="R40" s="3" t="s">
        <v>68</v>
      </c>
      <c r="S40" s="3"/>
      <c r="T40" s="3"/>
      <c r="U40" s="3">
        <v>60</v>
      </c>
      <c r="V40" s="3"/>
      <c r="W40" s="3" t="s">
        <v>306</v>
      </c>
      <c r="X40" s="3"/>
      <c r="Y40" s="3"/>
      <c r="Z40" s="3" t="s">
        <v>100</v>
      </c>
      <c r="AA40" s="3" t="s">
        <v>302</v>
      </c>
      <c r="AB40" s="3" t="s">
        <v>102</v>
      </c>
      <c r="AC40" s="3">
        <v>18</v>
      </c>
      <c r="AD40" s="3" t="s">
        <v>170</v>
      </c>
      <c r="AE40" s="3"/>
      <c r="AF40" s="3">
        <v>0</v>
      </c>
      <c r="AG40" s="3">
        <f t="shared" si="1"/>
        <v>18</v>
      </c>
      <c r="AH40" s="3"/>
      <c r="AI40" s="3" t="s">
        <v>52</v>
      </c>
      <c r="AJ40" s="3" t="s">
        <v>303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</row>
    <row r="41" spans="1:296" ht="19">
      <c r="A41" s="3" t="s">
        <v>307</v>
      </c>
      <c r="B41" s="3">
        <v>40</v>
      </c>
      <c r="C41" s="3" t="s">
        <v>308</v>
      </c>
      <c r="D41" s="3" t="s">
        <v>297</v>
      </c>
      <c r="E41" s="6" t="s">
        <v>40</v>
      </c>
      <c r="F41" s="7">
        <v>1</v>
      </c>
      <c r="G41" s="8">
        <v>0</v>
      </c>
      <c r="H41" s="8">
        <v>0</v>
      </c>
      <c r="I41" s="18"/>
      <c r="J41" s="20"/>
      <c r="K41" s="18"/>
      <c r="L41" s="18"/>
      <c r="M41" s="18"/>
      <c r="N41" s="3">
        <v>3</v>
      </c>
      <c r="O41" s="3">
        <v>3</v>
      </c>
      <c r="P41" s="3" t="s">
        <v>14</v>
      </c>
      <c r="Q41" s="3" t="s">
        <v>300</v>
      </c>
      <c r="R41" s="3" t="s">
        <v>68</v>
      </c>
      <c r="S41" s="3"/>
      <c r="T41" s="3"/>
      <c r="U41" s="3">
        <v>60</v>
      </c>
      <c r="V41" s="3"/>
      <c r="W41" s="3" t="s">
        <v>309</v>
      </c>
      <c r="X41" s="3"/>
      <c r="Y41" s="3"/>
      <c r="Z41" s="3" t="s">
        <v>100</v>
      </c>
      <c r="AA41" s="3" t="s">
        <v>302</v>
      </c>
      <c r="AB41" s="3" t="s">
        <v>102</v>
      </c>
      <c r="AC41" s="3">
        <v>22</v>
      </c>
      <c r="AD41" s="3" t="s">
        <v>170</v>
      </c>
      <c r="AE41" s="3"/>
      <c r="AF41" s="3">
        <v>0</v>
      </c>
      <c r="AG41" s="3">
        <f t="shared" si="1"/>
        <v>22</v>
      </c>
      <c r="AH41" s="3"/>
      <c r="AI41" s="3" t="s">
        <v>52</v>
      </c>
      <c r="AJ41" s="3" t="s">
        <v>303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</row>
    <row r="42" spans="1:296" ht="19">
      <c r="A42" s="3" t="s">
        <v>310</v>
      </c>
      <c r="B42" s="3">
        <v>41</v>
      </c>
      <c r="C42" s="3" t="s">
        <v>311</v>
      </c>
      <c r="D42" s="3" t="s">
        <v>297</v>
      </c>
      <c r="E42" s="6" t="s">
        <v>40</v>
      </c>
      <c r="F42" s="7">
        <v>1</v>
      </c>
      <c r="G42" s="8">
        <v>0</v>
      </c>
      <c r="H42" s="8">
        <v>0</v>
      </c>
      <c r="I42" s="18"/>
      <c r="J42" s="20"/>
      <c r="K42" s="18"/>
      <c r="L42" s="18"/>
      <c r="M42" s="18"/>
      <c r="N42" s="3">
        <v>4</v>
      </c>
      <c r="O42" s="3">
        <v>4</v>
      </c>
      <c r="P42" s="3" t="s">
        <v>14</v>
      </c>
      <c r="Q42" s="3" t="s">
        <v>300</v>
      </c>
      <c r="R42" s="3" t="s">
        <v>68</v>
      </c>
      <c r="S42" s="3"/>
      <c r="T42" s="3"/>
      <c r="U42" s="3">
        <v>60</v>
      </c>
      <c r="V42" s="3"/>
      <c r="W42" s="3" t="s">
        <v>312</v>
      </c>
      <c r="X42" s="3"/>
      <c r="Y42" s="3"/>
      <c r="Z42" s="3" t="s">
        <v>100</v>
      </c>
      <c r="AA42" s="3" t="s">
        <v>302</v>
      </c>
      <c r="AB42" s="3" t="s">
        <v>102</v>
      </c>
      <c r="AC42" s="3">
        <v>20</v>
      </c>
      <c r="AD42" s="3" t="s">
        <v>170</v>
      </c>
      <c r="AE42" s="3"/>
      <c r="AF42" s="3">
        <v>0</v>
      </c>
      <c r="AG42" s="3">
        <f t="shared" si="1"/>
        <v>20</v>
      </c>
      <c r="AH42" s="3"/>
      <c r="AI42" s="3" t="s">
        <v>52</v>
      </c>
      <c r="AJ42" s="3" t="s">
        <v>303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</row>
    <row r="43" spans="1:296" ht="19">
      <c r="A43" s="3"/>
      <c r="B43" s="3">
        <v>42</v>
      </c>
      <c r="C43" s="3" t="s">
        <v>313</v>
      </c>
      <c r="D43" s="3" t="s">
        <v>314</v>
      </c>
      <c r="E43" s="6" t="s">
        <v>40</v>
      </c>
      <c r="F43" s="7">
        <v>1</v>
      </c>
      <c r="G43" s="14">
        <v>0</v>
      </c>
      <c r="H43" s="7">
        <v>1</v>
      </c>
      <c r="I43" s="1" t="s">
        <v>315</v>
      </c>
      <c r="J43" s="9" t="s">
        <v>316</v>
      </c>
      <c r="K43" s="1" t="s">
        <v>317</v>
      </c>
      <c r="L43" s="1">
        <v>2023</v>
      </c>
      <c r="M43" s="1" t="s">
        <v>318</v>
      </c>
      <c r="N43" s="3">
        <v>1</v>
      </c>
      <c r="O43" s="3">
        <v>1</v>
      </c>
      <c r="P43" s="3" t="s">
        <v>14</v>
      </c>
      <c r="Q43" s="3"/>
      <c r="R43" s="3" t="s">
        <v>68</v>
      </c>
      <c r="S43" s="3"/>
      <c r="T43" s="3">
        <v>24</v>
      </c>
      <c r="U43" s="3">
        <v>240</v>
      </c>
      <c r="V43" s="3">
        <v>4</v>
      </c>
      <c r="W43" s="3"/>
      <c r="X43" s="3"/>
      <c r="Y43" s="3" t="s">
        <v>126</v>
      </c>
      <c r="Z43" s="3" t="s">
        <v>167</v>
      </c>
      <c r="AA43" s="3" t="s">
        <v>168</v>
      </c>
      <c r="AB43" s="3" t="s">
        <v>169</v>
      </c>
      <c r="AC43" s="3">
        <v>40</v>
      </c>
      <c r="AD43" s="3">
        <v>8</v>
      </c>
      <c r="AE43" s="3">
        <v>32</v>
      </c>
      <c r="AF43" s="3">
        <v>3</v>
      </c>
      <c r="AG43" s="3">
        <f t="shared" si="1"/>
        <v>37</v>
      </c>
      <c r="AH43" s="3" t="s">
        <v>319</v>
      </c>
      <c r="AI43" s="3" t="s">
        <v>52</v>
      </c>
      <c r="AJ43" s="3" t="s">
        <v>320</v>
      </c>
      <c r="AK43" s="10" t="s">
        <v>321</v>
      </c>
      <c r="AL43" s="3" t="s">
        <v>90</v>
      </c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</row>
    <row r="44" spans="1:296" ht="19">
      <c r="A44" s="3"/>
      <c r="B44" s="3">
        <v>43</v>
      </c>
      <c r="C44" s="3" t="s">
        <v>322</v>
      </c>
      <c r="D44" s="3" t="s">
        <v>323</v>
      </c>
      <c r="E44" s="6" t="s">
        <v>40</v>
      </c>
      <c r="F44" s="7">
        <v>1</v>
      </c>
      <c r="G44" s="7">
        <v>1</v>
      </c>
      <c r="H44" s="14">
        <v>0</v>
      </c>
      <c r="I44" s="1" t="s">
        <v>324</v>
      </c>
      <c r="J44" s="9" t="s">
        <v>325</v>
      </c>
      <c r="K44" s="1" t="s">
        <v>326</v>
      </c>
      <c r="L44" s="1">
        <v>2023</v>
      </c>
      <c r="M44" s="1" t="s">
        <v>327</v>
      </c>
      <c r="N44" s="3">
        <v>1</v>
      </c>
      <c r="O44" s="3">
        <v>1</v>
      </c>
      <c r="P44" s="3" t="s">
        <v>14</v>
      </c>
      <c r="Q44" s="3" t="s">
        <v>81</v>
      </c>
      <c r="R44" s="3" t="s">
        <v>68</v>
      </c>
      <c r="S44" s="3" t="s">
        <v>47</v>
      </c>
      <c r="T44" s="3" t="s">
        <v>47</v>
      </c>
      <c r="U44" s="3">
        <v>60</v>
      </c>
      <c r="V44" s="3">
        <v>2</v>
      </c>
      <c r="W44" s="3"/>
      <c r="X44" s="3"/>
      <c r="Y44" s="3"/>
      <c r="Z44" s="3" t="s">
        <v>71</v>
      </c>
      <c r="AA44" s="3" t="s">
        <v>328</v>
      </c>
      <c r="AB44" s="3" t="s">
        <v>62</v>
      </c>
      <c r="AC44" s="3">
        <v>144</v>
      </c>
      <c r="AD44" s="3">
        <v>31</v>
      </c>
      <c r="AE44" s="3">
        <v>112</v>
      </c>
      <c r="AF44" s="3">
        <v>2</v>
      </c>
      <c r="AG44" s="3">
        <f t="shared" ref="AG44:AG47" si="2">AC44-AF44</f>
        <v>142</v>
      </c>
      <c r="AH44" s="3" t="s">
        <v>329</v>
      </c>
      <c r="AI44" s="3" t="s">
        <v>178</v>
      </c>
      <c r="AJ44" s="3" t="s">
        <v>330</v>
      </c>
      <c r="AK44" s="10" t="s">
        <v>331</v>
      </c>
      <c r="AL44" s="3" t="s">
        <v>90</v>
      </c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</row>
    <row r="45" spans="1:296" ht="68">
      <c r="A45" s="3"/>
      <c r="B45" s="3">
        <v>44</v>
      </c>
      <c r="C45" s="3" t="s">
        <v>332</v>
      </c>
      <c r="D45" s="3" t="s">
        <v>333</v>
      </c>
      <c r="E45" s="6" t="s">
        <v>40</v>
      </c>
      <c r="F45" s="7">
        <v>1</v>
      </c>
      <c r="G45" s="14">
        <v>0</v>
      </c>
      <c r="H45" s="7">
        <v>1</v>
      </c>
      <c r="I45" s="18" t="s">
        <v>334</v>
      </c>
      <c r="J45" s="20" t="s">
        <v>335</v>
      </c>
      <c r="K45" s="18" t="s">
        <v>336</v>
      </c>
      <c r="L45" s="18">
        <v>2021</v>
      </c>
      <c r="M45" s="18" t="s">
        <v>111</v>
      </c>
      <c r="N45" s="3">
        <v>1</v>
      </c>
      <c r="O45" s="3">
        <v>1</v>
      </c>
      <c r="P45" s="3" t="s">
        <v>14</v>
      </c>
      <c r="Q45" s="3" t="s">
        <v>81</v>
      </c>
      <c r="R45" s="3" t="s">
        <v>68</v>
      </c>
      <c r="S45" s="3" t="s">
        <v>47</v>
      </c>
      <c r="T45" s="3" t="s">
        <v>47</v>
      </c>
      <c r="U45" s="3">
        <v>360</v>
      </c>
      <c r="V45" s="3">
        <v>6</v>
      </c>
      <c r="W45" s="3" t="s">
        <v>337</v>
      </c>
      <c r="X45" s="3" t="s">
        <v>338</v>
      </c>
      <c r="Y45" s="3" t="s">
        <v>126</v>
      </c>
      <c r="Z45" s="3" t="s">
        <v>100</v>
      </c>
      <c r="AA45" s="3" t="s">
        <v>302</v>
      </c>
      <c r="AB45" s="3" t="s">
        <v>62</v>
      </c>
      <c r="AC45" s="3">
        <v>109</v>
      </c>
      <c r="AD45" s="3">
        <v>50</v>
      </c>
      <c r="AE45" s="3">
        <v>59</v>
      </c>
      <c r="AF45" s="3">
        <v>1</v>
      </c>
      <c r="AG45" s="3">
        <f t="shared" si="2"/>
        <v>108</v>
      </c>
      <c r="AH45" s="3" t="s">
        <v>339</v>
      </c>
      <c r="AI45" s="3" t="s">
        <v>52</v>
      </c>
      <c r="AJ45" s="3" t="s">
        <v>340</v>
      </c>
      <c r="AK45" s="10" t="s">
        <v>341</v>
      </c>
      <c r="AL45" s="11" t="s">
        <v>342</v>
      </c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</row>
    <row r="46" spans="1:296" ht="68">
      <c r="A46" s="3"/>
      <c r="B46" s="3">
        <v>45</v>
      </c>
      <c r="C46" s="3" t="s">
        <v>343</v>
      </c>
      <c r="D46" s="3" t="s">
        <v>333</v>
      </c>
      <c r="E46" s="6" t="s">
        <v>40</v>
      </c>
      <c r="F46" s="7">
        <v>1</v>
      </c>
      <c r="G46" s="14">
        <v>0</v>
      </c>
      <c r="H46" s="7">
        <v>1</v>
      </c>
      <c r="I46" s="18"/>
      <c r="J46" s="20"/>
      <c r="K46" s="18"/>
      <c r="L46" s="18"/>
      <c r="M46" s="18"/>
      <c r="N46" s="3">
        <v>1</v>
      </c>
      <c r="O46" s="3">
        <v>1</v>
      </c>
      <c r="P46" s="3" t="s">
        <v>14</v>
      </c>
      <c r="Q46" s="3" t="s">
        <v>81</v>
      </c>
      <c r="R46" s="3" t="s">
        <v>68</v>
      </c>
      <c r="S46" s="3" t="s">
        <v>47</v>
      </c>
      <c r="T46" s="3" t="s">
        <v>47</v>
      </c>
      <c r="U46" s="3">
        <v>360</v>
      </c>
      <c r="V46" s="3">
        <v>6</v>
      </c>
      <c r="W46" s="3" t="s">
        <v>337</v>
      </c>
      <c r="X46" s="3" t="s">
        <v>338</v>
      </c>
      <c r="Y46" s="3" t="s">
        <v>126</v>
      </c>
      <c r="Z46" s="3" t="s">
        <v>100</v>
      </c>
      <c r="AA46" s="3" t="s">
        <v>302</v>
      </c>
      <c r="AB46" s="3" t="s">
        <v>62</v>
      </c>
      <c r="AC46" s="3">
        <v>109</v>
      </c>
      <c r="AD46" s="3">
        <v>50</v>
      </c>
      <c r="AE46" s="3">
        <v>59</v>
      </c>
      <c r="AF46" s="3">
        <v>1</v>
      </c>
      <c r="AG46" s="3">
        <f t="shared" si="2"/>
        <v>108</v>
      </c>
      <c r="AH46" s="3" t="s">
        <v>339</v>
      </c>
      <c r="AI46" s="3" t="s">
        <v>52</v>
      </c>
      <c r="AJ46" s="3" t="s">
        <v>340</v>
      </c>
      <c r="AK46" s="10" t="s">
        <v>341</v>
      </c>
      <c r="AL46" s="11" t="s">
        <v>342</v>
      </c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</row>
    <row r="47" spans="1:296" ht="68">
      <c r="A47" s="3"/>
      <c r="B47" s="3">
        <v>46</v>
      </c>
      <c r="C47" s="3" t="s">
        <v>344</v>
      </c>
      <c r="D47" s="3" t="s">
        <v>333</v>
      </c>
      <c r="E47" s="6" t="s">
        <v>40</v>
      </c>
      <c r="F47" s="7">
        <v>1</v>
      </c>
      <c r="G47" s="14">
        <v>0</v>
      </c>
      <c r="H47" s="7">
        <v>1</v>
      </c>
      <c r="I47" s="18"/>
      <c r="J47" s="20"/>
      <c r="K47" s="18"/>
      <c r="L47" s="18"/>
      <c r="M47" s="18"/>
      <c r="N47" s="3">
        <v>1</v>
      </c>
      <c r="O47" s="3">
        <v>1</v>
      </c>
      <c r="P47" s="3" t="s">
        <v>14</v>
      </c>
      <c r="Q47" s="3" t="s">
        <v>81</v>
      </c>
      <c r="R47" s="3" t="s">
        <v>68</v>
      </c>
      <c r="S47" s="3" t="s">
        <v>47</v>
      </c>
      <c r="T47" s="3" t="s">
        <v>47</v>
      </c>
      <c r="U47" s="3">
        <v>360</v>
      </c>
      <c r="V47" s="3">
        <v>6</v>
      </c>
      <c r="W47" s="3" t="s">
        <v>337</v>
      </c>
      <c r="X47" s="3" t="s">
        <v>338</v>
      </c>
      <c r="Y47" s="3" t="s">
        <v>126</v>
      </c>
      <c r="Z47" s="3" t="s">
        <v>100</v>
      </c>
      <c r="AA47" s="3" t="s">
        <v>302</v>
      </c>
      <c r="AB47" s="3" t="s">
        <v>62</v>
      </c>
      <c r="AC47" s="3">
        <v>109</v>
      </c>
      <c r="AD47" s="3">
        <v>50</v>
      </c>
      <c r="AE47" s="3">
        <v>59</v>
      </c>
      <c r="AF47" s="3">
        <v>1</v>
      </c>
      <c r="AG47" s="3">
        <f t="shared" si="2"/>
        <v>108</v>
      </c>
      <c r="AH47" s="3" t="s">
        <v>339</v>
      </c>
      <c r="AI47" s="3" t="s">
        <v>52</v>
      </c>
      <c r="AJ47" s="3" t="s">
        <v>340</v>
      </c>
      <c r="AK47" s="10" t="s">
        <v>341</v>
      </c>
      <c r="AL47" s="11" t="s">
        <v>342</v>
      </c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</row>
    <row r="48" spans="1:296" ht="19">
      <c r="A48" s="3"/>
      <c r="B48" s="3">
        <v>47</v>
      </c>
      <c r="C48" s="3" t="s">
        <v>345</v>
      </c>
      <c r="D48" s="3" t="s">
        <v>346</v>
      </c>
      <c r="E48" s="6" t="s">
        <v>40</v>
      </c>
      <c r="F48" s="7">
        <v>1</v>
      </c>
      <c r="G48" s="14">
        <v>0</v>
      </c>
      <c r="H48" s="14">
        <v>0</v>
      </c>
      <c r="I48" s="18" t="s">
        <v>347</v>
      </c>
      <c r="J48" s="20" t="s">
        <v>348</v>
      </c>
      <c r="K48" s="18" t="s">
        <v>349</v>
      </c>
      <c r="L48" s="18">
        <v>2022</v>
      </c>
      <c r="M48" s="18" t="s">
        <v>350</v>
      </c>
      <c r="N48" s="3">
        <v>1</v>
      </c>
      <c r="O48" s="3">
        <v>1</v>
      </c>
      <c r="P48" s="3" t="s">
        <v>14</v>
      </c>
      <c r="Q48" s="3"/>
      <c r="R48" s="3" t="s">
        <v>68</v>
      </c>
      <c r="S48" s="3">
        <v>24</v>
      </c>
      <c r="T48" s="3">
        <v>1</v>
      </c>
      <c r="U48" s="3">
        <v>240</v>
      </c>
      <c r="V48" s="3">
        <v>2</v>
      </c>
      <c r="W48" s="3" t="s">
        <v>351</v>
      </c>
      <c r="X48" s="3"/>
      <c r="Y48" s="3" t="s">
        <v>352</v>
      </c>
      <c r="Z48" s="3" t="s">
        <v>353</v>
      </c>
      <c r="AA48" s="3" t="s">
        <v>354</v>
      </c>
      <c r="AB48" s="3" t="s">
        <v>355</v>
      </c>
      <c r="AC48" s="3">
        <v>30</v>
      </c>
      <c r="AD48" s="3">
        <v>14</v>
      </c>
      <c r="AE48" s="3">
        <v>16</v>
      </c>
      <c r="AF48" s="3">
        <v>3</v>
      </c>
      <c r="AG48" s="3">
        <f t="shared" ref="AG48:AG54" si="3">AC48-AF48</f>
        <v>27</v>
      </c>
      <c r="AH48" s="3" t="s">
        <v>356</v>
      </c>
      <c r="AI48" s="3" t="s">
        <v>357</v>
      </c>
      <c r="AJ48" s="3" t="s">
        <v>358</v>
      </c>
      <c r="AK48" s="10" t="s">
        <v>359</v>
      </c>
      <c r="AL48" s="3" t="s">
        <v>90</v>
      </c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</row>
    <row r="49" spans="1:296" ht="19">
      <c r="A49" s="3"/>
      <c r="B49" s="3">
        <v>48</v>
      </c>
      <c r="C49" s="3" t="s">
        <v>360</v>
      </c>
      <c r="D49" s="3" t="s">
        <v>346</v>
      </c>
      <c r="E49" s="6" t="s">
        <v>40</v>
      </c>
      <c r="F49" s="7">
        <v>1</v>
      </c>
      <c r="G49" s="14">
        <v>0</v>
      </c>
      <c r="H49" s="14">
        <v>0</v>
      </c>
      <c r="I49" s="18"/>
      <c r="J49" s="20"/>
      <c r="K49" s="18"/>
      <c r="L49" s="18"/>
      <c r="M49" s="18"/>
      <c r="N49" s="3">
        <v>2</v>
      </c>
      <c r="O49" s="3">
        <v>2</v>
      </c>
      <c r="P49" s="3" t="s">
        <v>14</v>
      </c>
      <c r="Q49" s="3"/>
      <c r="R49" s="3" t="s">
        <v>68</v>
      </c>
      <c r="S49" s="3">
        <v>24</v>
      </c>
      <c r="T49" s="3">
        <v>1</v>
      </c>
      <c r="U49" s="3">
        <v>240</v>
      </c>
      <c r="V49" s="3">
        <v>2</v>
      </c>
      <c r="W49" s="3" t="s">
        <v>351</v>
      </c>
      <c r="X49" s="3"/>
      <c r="Y49" s="3" t="s">
        <v>352</v>
      </c>
      <c r="Z49" s="3" t="s">
        <v>353</v>
      </c>
      <c r="AA49" s="3" t="s">
        <v>354</v>
      </c>
      <c r="AB49" s="3" t="s">
        <v>355</v>
      </c>
      <c r="AC49" s="3">
        <v>104</v>
      </c>
      <c r="AD49" s="3">
        <v>14</v>
      </c>
      <c r="AE49" s="3">
        <v>90</v>
      </c>
      <c r="AF49" s="3">
        <v>2</v>
      </c>
      <c r="AG49" s="3">
        <f t="shared" si="3"/>
        <v>102</v>
      </c>
      <c r="AH49" s="3" t="s">
        <v>356</v>
      </c>
      <c r="AI49" s="3" t="s">
        <v>357</v>
      </c>
      <c r="AJ49" s="3" t="s">
        <v>358</v>
      </c>
      <c r="AK49" s="10" t="s">
        <v>359</v>
      </c>
      <c r="AL49" s="3" t="s">
        <v>90</v>
      </c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</row>
    <row r="50" spans="1:296" ht="19">
      <c r="A50" s="3" t="s">
        <v>361</v>
      </c>
      <c r="B50" s="3">
        <v>49</v>
      </c>
      <c r="C50" s="3" t="s">
        <v>362</v>
      </c>
      <c r="D50" s="3" t="s">
        <v>363</v>
      </c>
      <c r="E50" s="6" t="s">
        <v>40</v>
      </c>
      <c r="F50" s="7">
        <v>1</v>
      </c>
      <c r="G50" s="7">
        <v>1</v>
      </c>
      <c r="H50" s="14">
        <v>0</v>
      </c>
      <c r="I50" s="15" t="s">
        <v>364</v>
      </c>
      <c r="J50" s="9" t="s">
        <v>365</v>
      </c>
      <c r="K50" s="1" t="s">
        <v>366</v>
      </c>
      <c r="L50" s="1">
        <v>2022</v>
      </c>
      <c r="M50" s="1" t="s">
        <v>367</v>
      </c>
      <c r="N50" s="3">
        <v>1</v>
      </c>
      <c r="O50" s="3">
        <v>1</v>
      </c>
      <c r="P50" s="3" t="s">
        <v>14</v>
      </c>
      <c r="Q50" s="3" t="s">
        <v>81</v>
      </c>
      <c r="R50" s="3" t="s">
        <v>68</v>
      </c>
      <c r="S50" s="3" t="s">
        <v>47</v>
      </c>
      <c r="T50" s="3" t="s">
        <v>47</v>
      </c>
      <c r="U50" s="3">
        <v>360</v>
      </c>
      <c r="V50" s="3">
        <v>3</v>
      </c>
      <c r="W50" s="3"/>
      <c r="X50" s="3"/>
      <c r="Y50" s="3" t="s">
        <v>99</v>
      </c>
      <c r="Z50" s="3" t="s">
        <v>186</v>
      </c>
      <c r="AA50" s="3" t="s">
        <v>368</v>
      </c>
      <c r="AB50" s="3" t="s">
        <v>62</v>
      </c>
      <c r="AC50" s="3">
        <v>328</v>
      </c>
      <c r="AD50" s="3" t="s">
        <v>170</v>
      </c>
      <c r="AE50" s="3"/>
      <c r="AF50" s="3">
        <v>40</v>
      </c>
      <c r="AG50" s="3">
        <f t="shared" si="3"/>
        <v>288</v>
      </c>
      <c r="AH50" s="3" t="s">
        <v>263</v>
      </c>
      <c r="AI50" s="3" t="s">
        <v>52</v>
      </c>
      <c r="AJ50" s="3" t="s">
        <v>369</v>
      </c>
      <c r="AK50" s="10" t="s">
        <v>370</v>
      </c>
      <c r="AL50" s="3" t="s">
        <v>90</v>
      </c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</row>
    <row r="51" spans="1:296" ht="19">
      <c r="A51" s="3"/>
      <c r="B51" s="3">
        <v>50</v>
      </c>
      <c r="C51" s="3" t="s">
        <v>371</v>
      </c>
      <c r="D51" s="3" t="s">
        <v>372</v>
      </c>
      <c r="E51" s="6" t="s">
        <v>40</v>
      </c>
      <c r="F51" s="7">
        <v>1</v>
      </c>
      <c r="G51" s="14">
        <v>0</v>
      </c>
      <c r="H51" s="14">
        <v>0</v>
      </c>
      <c r="I51" s="18" t="s">
        <v>181</v>
      </c>
      <c r="J51" s="20" t="s">
        <v>373</v>
      </c>
      <c r="K51" s="18" t="s">
        <v>183</v>
      </c>
      <c r="L51" s="18">
        <v>2020</v>
      </c>
      <c r="M51" s="18" t="s">
        <v>244</v>
      </c>
      <c r="N51" s="3">
        <v>1</v>
      </c>
      <c r="O51" s="3">
        <v>1</v>
      </c>
      <c r="P51" s="3" t="s">
        <v>14</v>
      </c>
      <c r="Q51" s="3" t="s">
        <v>81</v>
      </c>
      <c r="R51" s="3" t="s">
        <v>166</v>
      </c>
      <c r="S51" s="3">
        <v>24</v>
      </c>
      <c r="T51" s="3">
        <v>1</v>
      </c>
      <c r="U51" s="3">
        <v>360</v>
      </c>
      <c r="V51" s="3">
        <v>3</v>
      </c>
      <c r="W51" s="3"/>
      <c r="X51" s="3"/>
      <c r="Y51" s="3" t="s">
        <v>374</v>
      </c>
      <c r="Z51" s="3"/>
      <c r="AA51" s="3"/>
      <c r="AB51" s="3" t="s">
        <v>62</v>
      </c>
      <c r="AC51" s="3">
        <v>23</v>
      </c>
      <c r="AD51" s="3">
        <v>7</v>
      </c>
      <c r="AE51" s="3">
        <v>11</v>
      </c>
      <c r="AF51" s="3">
        <v>5</v>
      </c>
      <c r="AG51" s="3">
        <f t="shared" si="3"/>
        <v>18</v>
      </c>
      <c r="AH51" s="3" t="s">
        <v>375</v>
      </c>
      <c r="AI51" s="3" t="s">
        <v>52</v>
      </c>
      <c r="AJ51" s="3" t="s">
        <v>376</v>
      </c>
      <c r="AK51" s="10" t="s">
        <v>377</v>
      </c>
      <c r="AL51" s="3" t="s">
        <v>90</v>
      </c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</row>
    <row r="52" spans="1:296" ht="19">
      <c r="A52" s="3"/>
      <c r="B52" s="3">
        <v>51</v>
      </c>
      <c r="C52" s="3" t="s">
        <v>378</v>
      </c>
      <c r="D52" s="3" t="s">
        <v>372</v>
      </c>
      <c r="E52" s="6" t="s">
        <v>40</v>
      </c>
      <c r="F52" s="7">
        <v>1</v>
      </c>
      <c r="G52" s="14">
        <v>0</v>
      </c>
      <c r="H52" s="14">
        <v>0</v>
      </c>
      <c r="I52" s="18"/>
      <c r="J52" s="20"/>
      <c r="K52" s="18"/>
      <c r="L52" s="18"/>
      <c r="M52" s="18"/>
      <c r="N52" s="3">
        <v>1</v>
      </c>
      <c r="O52" s="3">
        <v>1</v>
      </c>
      <c r="P52" s="3" t="s">
        <v>14</v>
      </c>
      <c r="Q52" s="3" t="s">
        <v>81</v>
      </c>
      <c r="R52" s="3" t="s">
        <v>166</v>
      </c>
      <c r="S52" s="3">
        <v>24</v>
      </c>
      <c r="T52" s="3">
        <v>1</v>
      </c>
      <c r="U52" s="3">
        <v>360</v>
      </c>
      <c r="V52" s="3">
        <v>3</v>
      </c>
      <c r="W52" s="3"/>
      <c r="X52" s="3"/>
      <c r="Y52" s="3" t="s">
        <v>374</v>
      </c>
      <c r="Z52" s="3"/>
      <c r="AA52" s="3"/>
      <c r="AB52" s="3" t="s">
        <v>62</v>
      </c>
      <c r="AC52" s="3">
        <v>21</v>
      </c>
      <c r="AD52" s="3">
        <v>6</v>
      </c>
      <c r="AE52" s="3">
        <v>12</v>
      </c>
      <c r="AF52" s="3">
        <v>3</v>
      </c>
      <c r="AG52" s="3">
        <f t="shared" si="3"/>
        <v>18</v>
      </c>
      <c r="AH52" s="3" t="s">
        <v>375</v>
      </c>
      <c r="AI52" s="3" t="s">
        <v>52</v>
      </c>
      <c r="AJ52" s="3" t="s">
        <v>376</v>
      </c>
      <c r="AK52" s="10" t="s">
        <v>377</v>
      </c>
      <c r="AL52" s="3" t="s">
        <v>90</v>
      </c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</row>
    <row r="53" spans="1:296" ht="19">
      <c r="A53" s="3"/>
      <c r="B53" s="3">
        <v>52</v>
      </c>
      <c r="C53" s="3" t="s">
        <v>379</v>
      </c>
      <c r="D53" s="3" t="s">
        <v>372</v>
      </c>
      <c r="E53" s="6" t="s">
        <v>40</v>
      </c>
      <c r="F53" s="7">
        <v>1</v>
      </c>
      <c r="G53" s="14">
        <v>0</v>
      </c>
      <c r="H53" s="14">
        <v>0</v>
      </c>
      <c r="I53" s="18"/>
      <c r="J53" s="20"/>
      <c r="K53" s="18"/>
      <c r="L53" s="18"/>
      <c r="M53" s="18"/>
      <c r="N53" s="3">
        <v>1</v>
      </c>
      <c r="O53" s="3">
        <v>1</v>
      </c>
      <c r="P53" s="3" t="s">
        <v>14</v>
      </c>
      <c r="Q53" s="3" t="s">
        <v>81</v>
      </c>
      <c r="R53" s="3" t="s">
        <v>166</v>
      </c>
      <c r="S53" s="3">
        <v>24</v>
      </c>
      <c r="T53" s="3">
        <v>1</v>
      </c>
      <c r="U53" s="3">
        <v>360</v>
      </c>
      <c r="V53" s="3">
        <v>3</v>
      </c>
      <c r="W53" s="3"/>
      <c r="X53" s="3"/>
      <c r="Y53" s="3" t="s">
        <v>374</v>
      </c>
      <c r="Z53" s="3"/>
      <c r="AA53" s="3"/>
      <c r="AB53" s="3" t="s">
        <v>62</v>
      </c>
      <c r="AC53" s="3">
        <v>18</v>
      </c>
      <c r="AD53" s="3">
        <v>0</v>
      </c>
      <c r="AE53" s="3">
        <v>18</v>
      </c>
      <c r="AF53" s="3">
        <v>0</v>
      </c>
      <c r="AG53" s="3">
        <f t="shared" si="3"/>
        <v>18</v>
      </c>
      <c r="AH53" s="3" t="s">
        <v>375</v>
      </c>
      <c r="AI53" s="3" t="s">
        <v>52</v>
      </c>
      <c r="AJ53" s="3" t="s">
        <v>376</v>
      </c>
      <c r="AK53" s="10" t="s">
        <v>377</v>
      </c>
      <c r="AL53" s="3" t="s">
        <v>90</v>
      </c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</row>
    <row r="54" spans="1:296" ht="19">
      <c r="A54" s="3"/>
      <c r="B54" s="3">
        <v>53</v>
      </c>
      <c r="C54" s="3" t="s">
        <v>380</v>
      </c>
      <c r="D54" s="3" t="s">
        <v>381</v>
      </c>
      <c r="E54" s="6" t="s">
        <v>40</v>
      </c>
      <c r="F54" s="7">
        <v>1</v>
      </c>
      <c r="G54" s="14">
        <v>0</v>
      </c>
      <c r="H54" s="14">
        <v>0</v>
      </c>
      <c r="I54" s="16" t="s">
        <v>334</v>
      </c>
      <c r="J54" s="9" t="s">
        <v>335</v>
      </c>
      <c r="K54" s="1" t="s">
        <v>382</v>
      </c>
      <c r="L54" s="1">
        <v>2023</v>
      </c>
      <c r="M54" s="1" t="s">
        <v>383</v>
      </c>
      <c r="N54" s="3">
        <v>1</v>
      </c>
      <c r="O54" s="3">
        <v>1</v>
      </c>
      <c r="P54" s="3" t="s">
        <v>14</v>
      </c>
      <c r="Q54" s="3"/>
      <c r="R54" s="3" t="s">
        <v>68</v>
      </c>
      <c r="S54" s="3">
        <v>12</v>
      </c>
      <c r="T54" s="3" t="s">
        <v>47</v>
      </c>
      <c r="U54" s="3">
        <v>96</v>
      </c>
      <c r="V54" s="3" t="s">
        <v>47</v>
      </c>
      <c r="W54" s="3"/>
      <c r="X54" s="3"/>
      <c r="Y54" s="3" t="s">
        <v>126</v>
      </c>
      <c r="Z54" s="3" t="s">
        <v>100</v>
      </c>
      <c r="AA54" s="3" t="s">
        <v>302</v>
      </c>
      <c r="AB54" s="3" t="s">
        <v>62</v>
      </c>
      <c r="AC54" s="3">
        <v>380</v>
      </c>
      <c r="AD54" s="3">
        <v>198</v>
      </c>
      <c r="AE54" s="3">
        <v>182</v>
      </c>
      <c r="AF54" s="3">
        <v>32</v>
      </c>
      <c r="AG54" s="3">
        <f t="shared" si="3"/>
        <v>348</v>
      </c>
      <c r="AH54" s="3" t="s">
        <v>384</v>
      </c>
      <c r="AI54" s="3" t="s">
        <v>52</v>
      </c>
      <c r="AJ54" s="3" t="s">
        <v>385</v>
      </c>
      <c r="AK54" s="10" t="s">
        <v>386</v>
      </c>
      <c r="AL54" s="3" t="s">
        <v>203</v>
      </c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</row>
    <row r="55" spans="1:296" ht="34">
      <c r="A55" s="3"/>
      <c r="B55" s="3">
        <v>54</v>
      </c>
      <c r="C55" s="3" t="s">
        <v>387</v>
      </c>
      <c r="D55" s="3" t="s">
        <v>388</v>
      </c>
      <c r="E55" s="6" t="s">
        <v>40</v>
      </c>
      <c r="F55" s="7">
        <v>1</v>
      </c>
      <c r="G55" s="3" t="s">
        <v>120</v>
      </c>
      <c r="H55" s="14">
        <v>0</v>
      </c>
      <c r="I55" s="1" t="s">
        <v>389</v>
      </c>
      <c r="J55" s="9" t="s">
        <v>390</v>
      </c>
      <c r="K55" s="1" t="s">
        <v>391</v>
      </c>
      <c r="L55" s="1">
        <v>2021</v>
      </c>
      <c r="M55" s="1" t="s">
        <v>392</v>
      </c>
      <c r="N55" s="3">
        <v>1</v>
      </c>
      <c r="O55" s="3">
        <v>1</v>
      </c>
      <c r="P55" s="3" t="s">
        <v>14</v>
      </c>
      <c r="Q55" s="3" t="s">
        <v>81</v>
      </c>
      <c r="R55" s="3" t="s">
        <v>68</v>
      </c>
      <c r="S55" s="3" t="s">
        <v>47</v>
      </c>
      <c r="T55" s="3">
        <v>3</v>
      </c>
      <c r="U55" s="3">
        <v>320</v>
      </c>
      <c r="V55" s="3">
        <v>4</v>
      </c>
      <c r="W55" s="3"/>
      <c r="X55" s="3"/>
      <c r="Y55" s="3"/>
      <c r="Z55" s="3" t="s">
        <v>393</v>
      </c>
      <c r="AA55" s="3" t="s">
        <v>245</v>
      </c>
      <c r="AB55" s="3" t="s">
        <v>62</v>
      </c>
      <c r="AC55" s="3">
        <v>84</v>
      </c>
      <c r="AD55" s="3">
        <v>13</v>
      </c>
      <c r="AE55" s="3">
        <v>70</v>
      </c>
      <c r="AF55" s="3">
        <v>0</v>
      </c>
      <c r="AG55" s="3">
        <v>84</v>
      </c>
      <c r="AH55" s="3" t="s">
        <v>394</v>
      </c>
      <c r="AI55" s="3" t="s">
        <v>129</v>
      </c>
      <c r="AJ55" s="3" t="s">
        <v>395</v>
      </c>
      <c r="AK55" s="11" t="s">
        <v>396</v>
      </c>
      <c r="AL55" s="3" t="s">
        <v>90</v>
      </c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</row>
    <row r="56" spans="1:296" ht="19">
      <c r="A56" s="3"/>
      <c r="B56" s="3">
        <v>55</v>
      </c>
      <c r="C56" s="3" t="s">
        <v>397</v>
      </c>
      <c r="D56" s="3" t="s">
        <v>398</v>
      </c>
      <c r="E56" s="6" t="s">
        <v>40</v>
      </c>
      <c r="F56" s="7">
        <v>1</v>
      </c>
      <c r="G56" s="14">
        <v>0</v>
      </c>
      <c r="H56" s="7">
        <v>1</v>
      </c>
      <c r="I56" s="16" t="s">
        <v>399</v>
      </c>
      <c r="J56" s="9" t="s">
        <v>400</v>
      </c>
      <c r="K56" s="1" t="s">
        <v>401</v>
      </c>
      <c r="L56" s="1">
        <v>2023</v>
      </c>
      <c r="M56" s="18" t="s">
        <v>402</v>
      </c>
      <c r="N56" s="3">
        <v>1</v>
      </c>
      <c r="O56" s="3">
        <v>1</v>
      </c>
      <c r="P56" s="3" t="s">
        <v>14</v>
      </c>
      <c r="Q56" s="3" t="s">
        <v>81</v>
      </c>
      <c r="R56" s="3" t="s">
        <v>68</v>
      </c>
      <c r="S56" s="3">
        <v>12</v>
      </c>
      <c r="T56" s="3" t="s">
        <v>47</v>
      </c>
      <c r="U56" s="3">
        <v>960</v>
      </c>
      <c r="V56" s="3">
        <v>16</v>
      </c>
      <c r="W56" s="3"/>
      <c r="X56" s="3"/>
      <c r="Y56" s="3"/>
      <c r="Z56" s="3" t="s">
        <v>393</v>
      </c>
      <c r="AA56" s="3" t="s">
        <v>245</v>
      </c>
      <c r="AB56" s="3" t="s">
        <v>62</v>
      </c>
      <c r="AC56" s="3">
        <v>20</v>
      </c>
      <c r="AD56" s="3">
        <v>12</v>
      </c>
      <c r="AE56" s="3">
        <v>8</v>
      </c>
      <c r="AF56" s="3">
        <v>0</v>
      </c>
      <c r="AG56" s="3">
        <v>20</v>
      </c>
      <c r="AH56" s="3" t="s">
        <v>403</v>
      </c>
      <c r="AI56" s="3" t="s">
        <v>52</v>
      </c>
      <c r="AJ56" s="3" t="s">
        <v>404</v>
      </c>
      <c r="AK56" s="3" t="s">
        <v>405</v>
      </c>
      <c r="AL56" s="3" t="s">
        <v>203</v>
      </c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</row>
    <row r="57" spans="1:296" ht="19">
      <c r="A57" s="3"/>
      <c r="B57" s="3">
        <v>56</v>
      </c>
      <c r="C57" s="3" t="s">
        <v>406</v>
      </c>
      <c r="D57" s="3" t="s">
        <v>407</v>
      </c>
      <c r="E57" s="6" t="s">
        <v>40</v>
      </c>
      <c r="F57" s="7">
        <v>1</v>
      </c>
      <c r="G57" s="14">
        <v>0</v>
      </c>
      <c r="H57" s="14">
        <v>0</v>
      </c>
      <c r="I57" s="16" t="s">
        <v>408</v>
      </c>
      <c r="J57" s="9" t="s">
        <v>409</v>
      </c>
      <c r="K57" s="1" t="s">
        <v>410</v>
      </c>
      <c r="L57" s="1">
        <v>2024</v>
      </c>
      <c r="M57" s="18"/>
      <c r="N57" s="3">
        <v>1</v>
      </c>
      <c r="O57" s="3">
        <v>1</v>
      </c>
      <c r="P57" s="3" t="s">
        <v>14</v>
      </c>
      <c r="Q57" s="3" t="s">
        <v>81</v>
      </c>
      <c r="R57" s="3" t="s">
        <v>68</v>
      </c>
      <c r="S57" s="3">
        <v>20</v>
      </c>
      <c r="T57" s="3">
        <v>1</v>
      </c>
      <c r="U57" s="3">
        <v>240</v>
      </c>
      <c r="V57" s="3">
        <v>5</v>
      </c>
      <c r="W57" s="3"/>
      <c r="X57" s="3"/>
      <c r="Y57" s="3" t="s">
        <v>411</v>
      </c>
      <c r="Z57" s="3"/>
      <c r="AA57" s="3"/>
      <c r="AB57" s="3" t="s">
        <v>412</v>
      </c>
      <c r="AC57" s="3">
        <v>32</v>
      </c>
      <c r="AD57" s="3">
        <v>5</v>
      </c>
      <c r="AE57" s="3">
        <v>27</v>
      </c>
      <c r="AF57" s="3">
        <v>0</v>
      </c>
      <c r="AG57" s="3">
        <v>32</v>
      </c>
      <c r="AH57" s="3" t="s">
        <v>413</v>
      </c>
      <c r="AI57" s="3" t="s">
        <v>52</v>
      </c>
      <c r="AJ57" s="3" t="s">
        <v>414</v>
      </c>
      <c r="AK57" s="10" t="s">
        <v>415</v>
      </c>
      <c r="AL57" s="3" t="s">
        <v>90</v>
      </c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</row>
    <row r="58" spans="1:296" ht="34">
      <c r="A58" s="3"/>
      <c r="B58" s="3">
        <v>57</v>
      </c>
      <c r="C58" s="3" t="s">
        <v>416</v>
      </c>
      <c r="D58" s="3" t="s">
        <v>417</v>
      </c>
      <c r="E58" s="6" t="s">
        <v>40</v>
      </c>
      <c r="F58" s="7">
        <v>1</v>
      </c>
      <c r="G58" s="3" t="s">
        <v>120</v>
      </c>
      <c r="H58" s="7">
        <v>1</v>
      </c>
      <c r="I58" s="1" t="s">
        <v>418</v>
      </c>
      <c r="J58" s="9" t="s">
        <v>419</v>
      </c>
      <c r="K58" s="1" t="s">
        <v>420</v>
      </c>
      <c r="L58" s="1">
        <v>2024</v>
      </c>
      <c r="M58" s="1" t="s">
        <v>421</v>
      </c>
      <c r="N58" s="3">
        <v>1</v>
      </c>
      <c r="O58" s="3">
        <v>1</v>
      </c>
      <c r="P58" s="3" t="s">
        <v>14</v>
      </c>
      <c r="Q58" s="3" t="s">
        <v>422</v>
      </c>
      <c r="R58" s="3" t="s">
        <v>68</v>
      </c>
      <c r="S58" s="3">
        <v>24</v>
      </c>
      <c r="T58" s="3">
        <v>1</v>
      </c>
      <c r="U58" s="3">
        <v>360</v>
      </c>
      <c r="V58" s="3">
        <v>0</v>
      </c>
      <c r="W58" s="3"/>
      <c r="X58" s="3"/>
      <c r="Y58" s="3"/>
      <c r="Z58" s="3" t="s">
        <v>423</v>
      </c>
      <c r="AA58" s="3" t="s">
        <v>424</v>
      </c>
      <c r="AB58" s="3" t="s">
        <v>425</v>
      </c>
      <c r="AC58" s="3">
        <v>70</v>
      </c>
      <c r="AD58" s="3">
        <v>49</v>
      </c>
      <c r="AE58" s="3">
        <v>21</v>
      </c>
      <c r="AF58" s="3">
        <v>4</v>
      </c>
      <c r="AG58" s="3">
        <v>66</v>
      </c>
      <c r="AH58" s="3" t="s">
        <v>426</v>
      </c>
      <c r="AI58" s="3" t="s">
        <v>52</v>
      </c>
      <c r="AJ58" s="3" t="s">
        <v>427</v>
      </c>
      <c r="AK58" s="10" t="s">
        <v>428</v>
      </c>
      <c r="AL58" s="11" t="s">
        <v>429</v>
      </c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</row>
    <row r="59" spans="1:296" ht="19">
      <c r="A59" s="3"/>
      <c r="B59" s="3">
        <v>58</v>
      </c>
      <c r="C59" s="3" t="s">
        <v>430</v>
      </c>
      <c r="D59" s="3" t="s">
        <v>431</v>
      </c>
      <c r="E59" s="6" t="s">
        <v>40</v>
      </c>
      <c r="F59" s="7">
        <v>1</v>
      </c>
      <c r="G59" s="14">
        <v>0</v>
      </c>
      <c r="H59" s="14">
        <v>0</v>
      </c>
      <c r="I59" s="16" t="s">
        <v>399</v>
      </c>
      <c r="J59" s="9" t="s">
        <v>400</v>
      </c>
      <c r="K59" s="1" t="s">
        <v>432</v>
      </c>
      <c r="L59" s="1">
        <v>2015</v>
      </c>
      <c r="M59" s="1" t="s">
        <v>350</v>
      </c>
      <c r="N59" s="3">
        <v>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 t="s">
        <v>126</v>
      </c>
      <c r="Z59" s="3"/>
      <c r="AA59" s="3"/>
      <c r="AB59" s="3"/>
      <c r="AC59" s="3">
        <v>21</v>
      </c>
      <c r="AD59" s="3">
        <v>3</v>
      </c>
      <c r="AE59" s="3">
        <v>18</v>
      </c>
      <c r="AF59" s="3">
        <v>0</v>
      </c>
      <c r="AG59" s="3">
        <v>21</v>
      </c>
      <c r="AH59" s="3" t="s">
        <v>433</v>
      </c>
      <c r="AI59" s="3" t="s">
        <v>52</v>
      </c>
      <c r="AJ59" s="3" t="s">
        <v>434</v>
      </c>
      <c r="AK59" s="10" t="s">
        <v>435</v>
      </c>
      <c r="AL59" s="3" t="s">
        <v>436</v>
      </c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</row>
    <row r="60" spans="1:296" ht="19">
      <c r="A60" s="3"/>
      <c r="B60" s="3">
        <v>59</v>
      </c>
      <c r="C60" s="3" t="s">
        <v>437</v>
      </c>
      <c r="D60" s="3" t="s">
        <v>438</v>
      </c>
      <c r="E60" s="6" t="s">
        <v>40</v>
      </c>
      <c r="F60" s="7">
        <v>1</v>
      </c>
      <c r="G60" s="14">
        <v>0</v>
      </c>
      <c r="H60" s="14">
        <v>0</v>
      </c>
      <c r="I60" s="19" t="s">
        <v>439</v>
      </c>
      <c r="J60" s="20" t="s">
        <v>440</v>
      </c>
      <c r="K60" s="19" t="s">
        <v>441</v>
      </c>
      <c r="L60" s="18">
        <v>2024</v>
      </c>
      <c r="M60" s="18" t="s">
        <v>402</v>
      </c>
      <c r="N60" s="3">
        <v>1</v>
      </c>
      <c r="O60" s="3">
        <v>1</v>
      </c>
      <c r="P60" s="3" t="s">
        <v>14</v>
      </c>
      <c r="Q60" s="3"/>
      <c r="R60" s="3" t="s">
        <v>98</v>
      </c>
      <c r="S60" s="3"/>
      <c r="T60" s="3"/>
      <c r="U60" s="3"/>
      <c r="V60" s="3"/>
      <c r="W60" s="3"/>
      <c r="X60" s="3"/>
      <c r="Y60" s="3" t="s">
        <v>442</v>
      </c>
      <c r="Z60" s="3" t="s">
        <v>443</v>
      </c>
      <c r="AA60" s="3" t="s">
        <v>444</v>
      </c>
      <c r="AB60" s="3" t="s">
        <v>445</v>
      </c>
      <c r="AC60" s="3">
        <v>40</v>
      </c>
      <c r="AD60" s="3">
        <v>19</v>
      </c>
      <c r="AE60" s="3">
        <v>21</v>
      </c>
      <c r="AF60" s="3">
        <v>0</v>
      </c>
      <c r="AG60" s="3">
        <v>40</v>
      </c>
      <c r="AH60" s="3" t="s">
        <v>446</v>
      </c>
      <c r="AI60" s="3" t="s">
        <v>178</v>
      </c>
      <c r="AJ60" s="3" t="s">
        <v>447</v>
      </c>
      <c r="AK60" s="10" t="s">
        <v>448</v>
      </c>
      <c r="AL60" s="3" t="s">
        <v>90</v>
      </c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</row>
    <row r="61" spans="1:296" ht="19">
      <c r="A61" s="3"/>
      <c r="B61" s="3">
        <v>60</v>
      </c>
      <c r="C61" s="3" t="s">
        <v>449</v>
      </c>
      <c r="D61" s="3" t="s">
        <v>438</v>
      </c>
      <c r="E61" s="6" t="s">
        <v>40</v>
      </c>
      <c r="F61" s="7">
        <v>1</v>
      </c>
      <c r="G61" s="14">
        <v>0</v>
      </c>
      <c r="H61" s="14">
        <v>0</v>
      </c>
      <c r="I61" s="19"/>
      <c r="J61" s="20"/>
      <c r="K61" s="19"/>
      <c r="L61" s="18"/>
      <c r="M61" s="18"/>
      <c r="N61" s="3">
        <v>2</v>
      </c>
      <c r="O61" s="3">
        <v>2</v>
      </c>
      <c r="P61" s="3" t="s">
        <v>14</v>
      </c>
      <c r="Q61" s="3"/>
      <c r="R61" s="3" t="s">
        <v>98</v>
      </c>
      <c r="S61" s="3"/>
      <c r="T61" s="3"/>
      <c r="U61" s="3"/>
      <c r="V61" s="3"/>
      <c r="W61" s="3"/>
      <c r="X61" s="3"/>
      <c r="Y61" s="3" t="s">
        <v>442</v>
      </c>
      <c r="Z61" s="3" t="s">
        <v>443</v>
      </c>
      <c r="AA61" s="3" t="s">
        <v>444</v>
      </c>
      <c r="AB61" s="3" t="s">
        <v>355</v>
      </c>
      <c r="AC61" s="3">
        <v>40</v>
      </c>
      <c r="AD61" s="3">
        <v>16</v>
      </c>
      <c r="AE61" s="3">
        <v>24</v>
      </c>
      <c r="AF61" s="3">
        <v>0</v>
      </c>
      <c r="AG61" s="3">
        <v>40</v>
      </c>
      <c r="AH61" s="3" t="s">
        <v>446</v>
      </c>
      <c r="AI61" s="3" t="s">
        <v>178</v>
      </c>
      <c r="AJ61" s="3" t="s">
        <v>447</v>
      </c>
      <c r="AK61" s="10" t="s">
        <v>448</v>
      </c>
      <c r="AL61" s="3" t="s">
        <v>90</v>
      </c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</row>
    <row r="62" spans="1:296" ht="19">
      <c r="A62" s="3"/>
      <c r="B62" s="3">
        <v>61</v>
      </c>
      <c r="C62" s="3" t="s">
        <v>450</v>
      </c>
      <c r="D62" s="3" t="s">
        <v>451</v>
      </c>
      <c r="E62" s="6" t="s">
        <v>40</v>
      </c>
      <c r="F62" s="7">
        <v>1</v>
      </c>
      <c r="G62" s="14">
        <v>0</v>
      </c>
      <c r="H62" s="7">
        <v>1</v>
      </c>
      <c r="I62" s="1" t="s">
        <v>452</v>
      </c>
      <c r="J62" s="9" t="s">
        <v>453</v>
      </c>
      <c r="K62" s="1" t="s">
        <v>454</v>
      </c>
      <c r="L62" s="1">
        <v>2024</v>
      </c>
      <c r="M62" s="1" t="s">
        <v>455</v>
      </c>
      <c r="N62" s="3">
        <v>1</v>
      </c>
      <c r="O62" s="3">
        <v>1</v>
      </c>
      <c r="P62" s="3"/>
      <c r="Q62" s="3"/>
      <c r="R62" s="3"/>
      <c r="S62" s="3"/>
      <c r="T62" s="3"/>
      <c r="U62" s="3"/>
      <c r="V62" s="3"/>
      <c r="W62" s="3"/>
      <c r="X62" s="3"/>
      <c r="Y62" s="3"/>
      <c r="Z62" s="3" t="s">
        <v>393</v>
      </c>
      <c r="AA62" s="3" t="s">
        <v>456</v>
      </c>
      <c r="AB62" s="3" t="s">
        <v>62</v>
      </c>
      <c r="AC62" s="3">
        <v>59</v>
      </c>
      <c r="AD62" s="3">
        <v>34</v>
      </c>
      <c r="AE62" s="3">
        <v>46</v>
      </c>
      <c r="AF62" s="3">
        <v>1</v>
      </c>
      <c r="AG62" s="3">
        <v>58</v>
      </c>
      <c r="AH62" s="3" t="s">
        <v>457</v>
      </c>
      <c r="AI62" s="3" t="s">
        <v>178</v>
      </c>
      <c r="AJ62" s="3" t="s">
        <v>458</v>
      </c>
      <c r="AK62" s="10" t="s">
        <v>459</v>
      </c>
      <c r="AL62" s="3" t="s">
        <v>203</v>
      </c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</row>
    <row r="63" spans="1:296" ht="19">
      <c r="A63" s="3"/>
      <c r="B63" s="3">
        <v>62</v>
      </c>
      <c r="C63" s="3" t="s">
        <v>460</v>
      </c>
      <c r="D63" s="3" t="s">
        <v>461</v>
      </c>
      <c r="E63" s="6" t="s">
        <v>40</v>
      </c>
      <c r="F63" s="7">
        <v>1</v>
      </c>
      <c r="G63" s="14">
        <v>0</v>
      </c>
      <c r="H63" s="14">
        <v>0</v>
      </c>
      <c r="I63" s="18" t="s">
        <v>462</v>
      </c>
      <c r="J63" s="20" t="s">
        <v>463</v>
      </c>
      <c r="K63" s="18" t="s">
        <v>464</v>
      </c>
      <c r="L63" s="18">
        <v>2024</v>
      </c>
      <c r="M63" s="18" t="s">
        <v>465</v>
      </c>
      <c r="N63" s="3">
        <v>1</v>
      </c>
      <c r="O63" s="3">
        <v>1</v>
      </c>
      <c r="P63" s="3" t="s">
        <v>466</v>
      </c>
      <c r="Q63" s="3" t="s">
        <v>81</v>
      </c>
      <c r="R63" s="3" t="s">
        <v>98</v>
      </c>
      <c r="S63" s="3"/>
      <c r="T63" s="3"/>
      <c r="U63" s="3"/>
      <c r="V63" s="3"/>
      <c r="W63" s="3"/>
      <c r="X63" s="3"/>
      <c r="Y63" s="3"/>
      <c r="Z63" s="3"/>
      <c r="AA63" s="3"/>
      <c r="AB63" s="3"/>
      <c r="AC63" s="3">
        <v>35</v>
      </c>
      <c r="AD63" s="3" t="s">
        <v>170</v>
      </c>
      <c r="AE63" s="3"/>
      <c r="AF63" s="3">
        <v>0</v>
      </c>
      <c r="AG63" s="3">
        <v>35</v>
      </c>
      <c r="AH63" s="3" t="s">
        <v>467</v>
      </c>
      <c r="AI63" s="3" t="s">
        <v>468</v>
      </c>
      <c r="AJ63" s="3" t="s">
        <v>469</v>
      </c>
      <c r="AK63" s="10" t="s">
        <v>470</v>
      </c>
      <c r="AL63" s="3" t="s">
        <v>90</v>
      </c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</row>
    <row r="64" spans="1:296" ht="19">
      <c r="A64" s="3"/>
      <c r="B64" s="3">
        <v>63</v>
      </c>
      <c r="C64" s="3" t="s">
        <v>471</v>
      </c>
      <c r="D64" s="3" t="s">
        <v>461</v>
      </c>
      <c r="E64" s="6" t="s">
        <v>40</v>
      </c>
      <c r="F64" s="7">
        <v>1</v>
      </c>
      <c r="G64" s="14">
        <v>0</v>
      </c>
      <c r="H64" s="14">
        <v>0</v>
      </c>
      <c r="I64" s="18"/>
      <c r="J64" s="20"/>
      <c r="K64" s="18"/>
      <c r="L64" s="18"/>
      <c r="M64" s="18"/>
      <c r="N64" s="3">
        <v>1</v>
      </c>
      <c r="O64" s="3">
        <v>1</v>
      </c>
      <c r="P64" s="3" t="s">
        <v>466</v>
      </c>
      <c r="Q64" s="3" t="s">
        <v>81</v>
      </c>
      <c r="R64" s="3" t="s">
        <v>98</v>
      </c>
      <c r="S64" s="3"/>
      <c r="T64" s="3"/>
      <c r="U64" s="3"/>
      <c r="V64" s="3"/>
      <c r="W64" s="3"/>
      <c r="X64" s="3"/>
      <c r="Y64" s="3"/>
      <c r="Z64" s="3"/>
      <c r="AA64" s="3"/>
      <c r="AB64" s="3"/>
      <c r="AC64" s="3">
        <v>126</v>
      </c>
      <c r="AD64" s="3" t="s">
        <v>170</v>
      </c>
      <c r="AE64" s="3"/>
      <c r="AF64" s="3">
        <v>36</v>
      </c>
      <c r="AG64" s="3">
        <v>90</v>
      </c>
      <c r="AH64" s="3" t="s">
        <v>472</v>
      </c>
      <c r="AI64" s="3" t="s">
        <v>468</v>
      </c>
      <c r="AJ64" s="3" t="s">
        <v>469</v>
      </c>
      <c r="AK64" s="10" t="s">
        <v>470</v>
      </c>
      <c r="AL64" s="3" t="s">
        <v>90</v>
      </c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</row>
    <row r="65" spans="1:296" ht="16">
      <c r="A65" s="3"/>
      <c r="B65" s="3">
        <v>64</v>
      </c>
      <c r="C65" s="3" t="s">
        <v>473</v>
      </c>
      <c r="D65" s="3" t="s">
        <v>474</v>
      </c>
      <c r="E65" s="3"/>
      <c r="F65" s="7">
        <v>1</v>
      </c>
      <c r="G65" s="14">
        <v>0</v>
      </c>
      <c r="H65" s="14">
        <v>0</v>
      </c>
      <c r="I65" s="18" t="s">
        <v>475</v>
      </c>
      <c r="J65" s="20" t="s">
        <v>476</v>
      </c>
      <c r="K65" s="18" t="s">
        <v>477</v>
      </c>
      <c r="L65" s="18">
        <v>2023</v>
      </c>
      <c r="M65" s="18" t="s">
        <v>478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 t="s">
        <v>71</v>
      </c>
      <c r="AA65" s="3" t="s">
        <v>444</v>
      </c>
      <c r="AB65" s="3" t="s">
        <v>62</v>
      </c>
      <c r="AC65" s="3">
        <v>57</v>
      </c>
      <c r="AD65" s="3" t="s">
        <v>170</v>
      </c>
      <c r="AE65" s="3"/>
      <c r="AF65" s="3">
        <v>10</v>
      </c>
      <c r="AG65" s="3">
        <v>47</v>
      </c>
      <c r="AH65" s="3" t="s">
        <v>479</v>
      </c>
      <c r="AI65" s="3" t="s">
        <v>52</v>
      </c>
      <c r="AJ65" s="3" t="s">
        <v>480</v>
      </c>
      <c r="AK65" s="17" t="s">
        <v>481</v>
      </c>
      <c r="AL65" s="3" t="s">
        <v>90</v>
      </c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</row>
    <row r="66" spans="1:296" ht="16">
      <c r="A66" s="3"/>
      <c r="B66" s="3">
        <v>65</v>
      </c>
      <c r="C66" s="3" t="s">
        <v>482</v>
      </c>
      <c r="D66" s="3" t="s">
        <v>474</v>
      </c>
      <c r="E66" s="3"/>
      <c r="F66" s="7">
        <v>1</v>
      </c>
      <c r="G66" s="14">
        <v>0</v>
      </c>
      <c r="H66" s="14">
        <v>0</v>
      </c>
      <c r="I66" s="18"/>
      <c r="J66" s="20"/>
      <c r="K66" s="18"/>
      <c r="L66" s="18"/>
      <c r="M66" s="18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 t="s">
        <v>71</v>
      </c>
      <c r="AA66" s="3" t="s">
        <v>444</v>
      </c>
      <c r="AB66" s="3" t="s">
        <v>62</v>
      </c>
      <c r="AC66" s="3">
        <v>65</v>
      </c>
      <c r="AD66" s="3" t="s">
        <v>170</v>
      </c>
      <c r="AE66" s="3"/>
      <c r="AF66" s="3">
        <v>14</v>
      </c>
      <c r="AG66" s="3">
        <v>51</v>
      </c>
      <c r="AH66" s="3" t="s">
        <v>483</v>
      </c>
      <c r="AI66" s="3" t="s">
        <v>52</v>
      </c>
      <c r="AJ66" s="3" t="s">
        <v>480</v>
      </c>
      <c r="AK66" s="17" t="s">
        <v>481</v>
      </c>
      <c r="AL66" s="3" t="s">
        <v>90</v>
      </c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</row>
    <row r="67" spans="1:296" ht="16">
      <c r="A67" s="3" t="s">
        <v>484</v>
      </c>
      <c r="B67" s="3">
        <v>66</v>
      </c>
      <c r="C67" s="3" t="s">
        <v>485</v>
      </c>
      <c r="D67" s="3" t="s">
        <v>486</v>
      </c>
      <c r="E67" s="3"/>
      <c r="F67" s="7">
        <v>1</v>
      </c>
      <c r="G67" s="14">
        <v>0</v>
      </c>
      <c r="H67" s="14">
        <v>0</v>
      </c>
      <c r="I67" s="3"/>
      <c r="J67" s="9"/>
      <c r="K67" s="1"/>
      <c r="L67" s="1"/>
      <c r="M67" s="1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 t="s">
        <v>100</v>
      </c>
      <c r="AA67" s="3"/>
      <c r="AB67" s="3" t="s">
        <v>102</v>
      </c>
      <c r="AC67" s="3"/>
      <c r="AD67" s="3"/>
      <c r="AE67" s="3"/>
      <c r="AF67" s="3"/>
      <c r="AG67" s="3"/>
      <c r="AH67" s="3"/>
      <c r="AI67" s="3" t="s">
        <v>52</v>
      </c>
      <c r="AJ67" s="3" t="s">
        <v>487</v>
      </c>
      <c r="AK67" s="10" t="s">
        <v>488</v>
      </c>
      <c r="AL67" s="3" t="s">
        <v>55</v>
      </c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  <c r="GZ67" s="3"/>
      <c r="HA67" s="3"/>
      <c r="HB67" s="3"/>
      <c r="HC67" s="3"/>
      <c r="HD67" s="3"/>
      <c r="HE67" s="3"/>
      <c r="HF67" s="3"/>
      <c r="HG67" s="3"/>
      <c r="HH67" s="3"/>
      <c r="HI67" s="3"/>
      <c r="HJ67" s="3"/>
      <c r="HK67" s="3"/>
      <c r="HL67" s="3"/>
      <c r="HM67" s="3"/>
      <c r="HN67" s="3"/>
      <c r="HO67" s="3"/>
      <c r="HP67" s="3"/>
      <c r="HQ67" s="3"/>
      <c r="HR67" s="3"/>
      <c r="HS67" s="3"/>
      <c r="HT67" s="3"/>
      <c r="HU67" s="3"/>
      <c r="HV67" s="3"/>
      <c r="HW67" s="3"/>
      <c r="HX67" s="3"/>
      <c r="HY67" s="3"/>
      <c r="HZ67" s="3"/>
      <c r="IA67" s="3"/>
      <c r="IB67" s="3"/>
      <c r="IC67" s="3"/>
      <c r="ID67" s="3"/>
      <c r="IE67" s="3"/>
      <c r="IF67" s="3"/>
      <c r="IG67" s="3"/>
      <c r="IH67" s="3"/>
      <c r="II67" s="3"/>
      <c r="IJ67" s="3"/>
      <c r="IK67" s="3"/>
      <c r="IL67" s="3"/>
      <c r="IM67" s="3"/>
      <c r="IN67" s="3"/>
      <c r="IO67" s="3"/>
      <c r="IP67" s="3"/>
      <c r="IQ67" s="3"/>
      <c r="IR67" s="3"/>
      <c r="IS67" s="3"/>
      <c r="IT67" s="3"/>
      <c r="IU67" s="3"/>
      <c r="IV67" s="3"/>
      <c r="IW67" s="3"/>
      <c r="IX67" s="3"/>
      <c r="IY67" s="3"/>
      <c r="IZ67" s="3"/>
      <c r="JA67" s="3"/>
      <c r="JB67" s="3"/>
      <c r="JC67" s="3"/>
      <c r="JD67" s="3"/>
      <c r="JE67" s="3"/>
      <c r="JF67" s="3"/>
      <c r="JG67" s="3"/>
      <c r="JH67" s="3"/>
      <c r="JI67" s="3"/>
      <c r="JJ67" s="3"/>
      <c r="JK67" s="3"/>
      <c r="JL67" s="3"/>
      <c r="JM67" s="3"/>
      <c r="JN67" s="3"/>
      <c r="JO67" s="3"/>
      <c r="JP67" s="3"/>
      <c r="JQ67" s="3"/>
      <c r="JR67" s="3"/>
      <c r="JS67" s="3"/>
      <c r="JT67" s="3"/>
      <c r="JU67" s="3"/>
      <c r="JV67" s="3"/>
      <c r="JW67" s="3"/>
      <c r="JX67" s="3"/>
      <c r="JY67" s="3"/>
      <c r="JZ67" s="3"/>
      <c r="KA67" s="3"/>
      <c r="KB67" s="3"/>
      <c r="KC67" s="3"/>
      <c r="KD67" s="3"/>
      <c r="KE67" s="3"/>
      <c r="KF67" s="3"/>
      <c r="KG67" s="3"/>
      <c r="KH67" s="3"/>
      <c r="KI67" s="3"/>
      <c r="KJ67" s="3"/>
    </row>
    <row r="68" spans="1:296" ht="16">
      <c r="A68" s="3" t="s">
        <v>374</v>
      </c>
      <c r="B68" s="3">
        <v>67</v>
      </c>
      <c r="C68" s="3" t="s">
        <v>489</v>
      </c>
      <c r="D68" s="3" t="s">
        <v>490</v>
      </c>
      <c r="E68" s="3"/>
      <c r="F68" s="7">
        <v>1</v>
      </c>
      <c r="G68" s="14">
        <v>0</v>
      </c>
      <c r="H68" s="14">
        <v>0</v>
      </c>
      <c r="I68" s="3"/>
      <c r="J68" s="9"/>
      <c r="K68" s="1"/>
      <c r="L68" s="1"/>
      <c r="M68" s="1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 t="s">
        <v>178</v>
      </c>
      <c r="AJ68" s="3" t="s">
        <v>491</v>
      </c>
      <c r="AK68" s="10" t="s">
        <v>492</v>
      </c>
      <c r="AL68" s="3" t="s">
        <v>90</v>
      </c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  <c r="GZ68" s="3"/>
      <c r="HA68" s="3"/>
      <c r="HB68" s="3"/>
      <c r="HC68" s="3"/>
      <c r="HD68" s="3"/>
      <c r="HE68" s="3"/>
      <c r="HF68" s="3"/>
      <c r="HG68" s="3"/>
      <c r="HH68" s="3"/>
      <c r="HI68" s="3"/>
      <c r="HJ68" s="3"/>
      <c r="HK68" s="3"/>
      <c r="HL68" s="3"/>
      <c r="HM68" s="3"/>
      <c r="HN68" s="3"/>
      <c r="HO68" s="3"/>
      <c r="HP68" s="3"/>
      <c r="HQ68" s="3"/>
      <c r="HR68" s="3"/>
      <c r="HS68" s="3"/>
      <c r="HT68" s="3"/>
      <c r="HU68" s="3"/>
      <c r="HV68" s="3"/>
      <c r="HW68" s="3"/>
      <c r="HX68" s="3"/>
      <c r="HY68" s="3"/>
      <c r="HZ68" s="3"/>
      <c r="IA68" s="3"/>
      <c r="IB68" s="3"/>
      <c r="IC68" s="3"/>
      <c r="ID68" s="3"/>
      <c r="IE68" s="3"/>
      <c r="IF68" s="3"/>
      <c r="IG68" s="3"/>
      <c r="IH68" s="3"/>
      <c r="II68" s="3"/>
      <c r="IJ68" s="3"/>
      <c r="IK68" s="3"/>
      <c r="IL68" s="3"/>
      <c r="IM68" s="3"/>
      <c r="IN68" s="3"/>
      <c r="IO68" s="3"/>
      <c r="IP68" s="3"/>
      <c r="IQ68" s="3"/>
      <c r="IR68" s="3"/>
      <c r="IS68" s="3"/>
      <c r="IT68" s="3"/>
      <c r="IU68" s="3"/>
      <c r="IV68" s="3"/>
      <c r="IW68" s="3"/>
      <c r="IX68" s="3"/>
      <c r="IY68" s="3"/>
      <c r="IZ68" s="3"/>
      <c r="JA68" s="3"/>
      <c r="JB68" s="3"/>
      <c r="JC68" s="3"/>
      <c r="JD68" s="3"/>
      <c r="JE68" s="3"/>
      <c r="JF68" s="3"/>
      <c r="JG68" s="3"/>
      <c r="JH68" s="3"/>
      <c r="JI68" s="3"/>
      <c r="JJ68" s="3"/>
      <c r="JK68" s="3"/>
      <c r="JL68" s="3"/>
      <c r="JM68" s="3"/>
      <c r="JN68" s="3"/>
      <c r="JO68" s="3"/>
      <c r="JP68" s="3"/>
      <c r="JQ68" s="3"/>
      <c r="JR68" s="3"/>
      <c r="JS68" s="3"/>
      <c r="JT68" s="3"/>
      <c r="JU68" s="3"/>
      <c r="JV68" s="3"/>
      <c r="JW68" s="3"/>
      <c r="JX68" s="3"/>
      <c r="JY68" s="3"/>
      <c r="JZ68" s="3"/>
      <c r="KA68" s="3"/>
      <c r="KB68" s="3"/>
      <c r="KC68" s="3"/>
      <c r="KD68" s="3"/>
      <c r="KE68" s="3"/>
      <c r="KF68" s="3"/>
      <c r="KG68" s="3"/>
      <c r="KH68" s="3"/>
      <c r="KI68" s="3"/>
      <c r="KJ68" s="3"/>
    </row>
    <row r="69" spans="1:296" ht="16">
      <c r="A69" s="3"/>
      <c r="B69" s="3">
        <v>68</v>
      </c>
      <c r="C69" s="3" t="s">
        <v>493</v>
      </c>
      <c r="D69" s="3" t="s">
        <v>494</v>
      </c>
      <c r="E69" s="3"/>
      <c r="F69" s="7">
        <v>1</v>
      </c>
      <c r="G69" s="14">
        <v>0</v>
      </c>
      <c r="H69" s="14">
        <v>0</v>
      </c>
      <c r="I69" s="3"/>
      <c r="J69" s="9"/>
      <c r="K69" s="1"/>
      <c r="L69" s="1"/>
      <c r="M69" s="1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I69" s="3" t="s">
        <v>52</v>
      </c>
      <c r="AJ69" s="3" t="s">
        <v>495</v>
      </c>
      <c r="AK69" s="10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  <c r="GZ69" s="3"/>
      <c r="HA69" s="3"/>
      <c r="HB69" s="3"/>
      <c r="HC69" s="3"/>
      <c r="HD69" s="3"/>
      <c r="HE69" s="3"/>
      <c r="HF69" s="3"/>
      <c r="HG69" s="3"/>
      <c r="HH69" s="3"/>
      <c r="HI69" s="3"/>
      <c r="HJ69" s="3"/>
      <c r="HK69" s="3"/>
      <c r="HL69" s="3"/>
      <c r="HM69" s="3"/>
      <c r="HN69" s="3"/>
      <c r="HO69" s="3"/>
      <c r="HP69" s="3"/>
      <c r="HQ69" s="3"/>
      <c r="HR69" s="3"/>
      <c r="HS69" s="3"/>
      <c r="HT69" s="3"/>
      <c r="HU69" s="3"/>
      <c r="HV69" s="3"/>
      <c r="HW69" s="3"/>
      <c r="HX69" s="3"/>
      <c r="HY69" s="3"/>
      <c r="HZ69" s="3"/>
      <c r="IA69" s="3"/>
      <c r="IB69" s="3"/>
      <c r="IC69" s="3"/>
      <c r="ID69" s="3"/>
      <c r="IE69" s="3"/>
      <c r="IF69" s="3"/>
      <c r="IG69" s="3"/>
      <c r="IH69" s="3"/>
      <c r="II69" s="3"/>
      <c r="IJ69" s="3"/>
      <c r="IK69" s="3"/>
      <c r="IL69" s="3"/>
      <c r="IM69" s="3"/>
      <c r="IN69" s="3"/>
      <c r="IO69" s="3"/>
      <c r="IP69" s="3"/>
      <c r="IQ69" s="3"/>
      <c r="IR69" s="3"/>
      <c r="IS69" s="3"/>
      <c r="IT69" s="3"/>
      <c r="IU69" s="3"/>
      <c r="IV69" s="3"/>
      <c r="IW69" s="3"/>
      <c r="IX69" s="3"/>
      <c r="IY69" s="3"/>
      <c r="IZ69" s="3"/>
      <c r="JA69" s="3"/>
      <c r="JB69" s="3"/>
      <c r="JC69" s="3"/>
      <c r="JD69" s="3"/>
      <c r="JE69" s="3"/>
      <c r="JF69" s="3"/>
      <c r="JG69" s="3"/>
      <c r="JH69" s="3"/>
      <c r="JI69" s="3"/>
      <c r="JJ69" s="3"/>
      <c r="JK69" s="3"/>
      <c r="JL69" s="3"/>
      <c r="JM69" s="3"/>
      <c r="JN69" s="3"/>
      <c r="JO69" s="3"/>
      <c r="JP69" s="3"/>
      <c r="JQ69" s="3"/>
      <c r="JR69" s="3"/>
      <c r="JS69" s="3"/>
      <c r="JT69" s="3"/>
      <c r="JU69" s="3"/>
      <c r="JV69" s="3"/>
      <c r="JW69" s="3"/>
      <c r="JX69" s="3"/>
      <c r="JY69" s="3"/>
      <c r="JZ69" s="3"/>
      <c r="KA69" s="3"/>
      <c r="KB69" s="3"/>
      <c r="KC69" s="3"/>
      <c r="KD69" s="3"/>
      <c r="KE69" s="3"/>
      <c r="KF69" s="3"/>
      <c r="KG69" s="3"/>
      <c r="KH69" s="3"/>
      <c r="KI69" s="3"/>
      <c r="KJ69" s="3"/>
    </row>
    <row r="70" spans="1:296" ht="16">
      <c r="A70" s="3"/>
      <c r="B70" s="3">
        <v>69</v>
      </c>
      <c r="C70" s="3" t="s">
        <v>496</v>
      </c>
      <c r="D70" s="3" t="s">
        <v>497</v>
      </c>
      <c r="E70" s="3"/>
      <c r="F70" s="7">
        <v>1</v>
      </c>
      <c r="G70" s="14">
        <v>0</v>
      </c>
      <c r="H70" s="14">
        <v>0</v>
      </c>
      <c r="I70" s="3" t="s">
        <v>227</v>
      </c>
      <c r="J70" s="9" t="s">
        <v>498</v>
      </c>
      <c r="K70" s="1"/>
      <c r="L70" s="1"/>
      <c r="M70" s="1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 t="s">
        <v>167</v>
      </c>
      <c r="AA70" s="3" t="s">
        <v>231</v>
      </c>
      <c r="AB70" s="3" t="s">
        <v>169</v>
      </c>
      <c r="AC70" s="3">
        <v>34</v>
      </c>
      <c r="AD70" s="3">
        <v>9</v>
      </c>
      <c r="AE70" s="3">
        <v>25</v>
      </c>
      <c r="AF70" s="3">
        <v>6</v>
      </c>
      <c r="AG70" s="3">
        <v>28</v>
      </c>
      <c r="AH70" s="3" t="s">
        <v>499</v>
      </c>
      <c r="AI70" s="3" t="s">
        <v>52</v>
      </c>
      <c r="AJ70" s="3" t="s">
        <v>500</v>
      </c>
      <c r="AK70" s="10" t="s">
        <v>501</v>
      </c>
      <c r="AL70" s="3" t="s">
        <v>55</v>
      </c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  <c r="GZ70" s="3"/>
      <c r="HA70" s="3"/>
      <c r="HB70" s="3"/>
      <c r="HC70" s="3"/>
      <c r="HD70" s="3"/>
      <c r="HE70" s="3"/>
      <c r="HF70" s="3"/>
      <c r="HG70" s="3"/>
      <c r="HH70" s="3"/>
      <c r="HI70" s="3"/>
      <c r="HJ70" s="3"/>
      <c r="HK70" s="3"/>
      <c r="HL70" s="3"/>
      <c r="HM70" s="3"/>
      <c r="HN70" s="3"/>
      <c r="HO70" s="3"/>
      <c r="HP70" s="3"/>
      <c r="HQ70" s="3"/>
      <c r="HR70" s="3"/>
      <c r="HS70" s="3"/>
      <c r="HT70" s="3"/>
      <c r="HU70" s="3"/>
      <c r="HV70" s="3"/>
      <c r="HW70" s="3"/>
      <c r="HX70" s="3"/>
      <c r="HY70" s="3"/>
      <c r="HZ70" s="3"/>
      <c r="IA70" s="3"/>
      <c r="IB70" s="3"/>
      <c r="IC70" s="3"/>
      <c r="ID70" s="3"/>
      <c r="IE70" s="3"/>
      <c r="IF70" s="3"/>
      <c r="IG70" s="3"/>
      <c r="IH70" s="3"/>
      <c r="II70" s="3"/>
      <c r="IJ70" s="3"/>
      <c r="IK70" s="3"/>
      <c r="IL70" s="3"/>
      <c r="IM70" s="3"/>
      <c r="IN70" s="3"/>
      <c r="IO70" s="3"/>
      <c r="IP70" s="3"/>
      <c r="IQ70" s="3"/>
      <c r="IR70" s="3"/>
      <c r="IS70" s="3"/>
      <c r="IT70" s="3"/>
      <c r="IU70" s="3"/>
      <c r="IV70" s="3"/>
      <c r="IW70" s="3"/>
      <c r="IX70" s="3"/>
      <c r="IY70" s="3"/>
      <c r="IZ70" s="3"/>
      <c r="JA70" s="3"/>
      <c r="JB70" s="3"/>
      <c r="JC70" s="3"/>
      <c r="JD70" s="3"/>
      <c r="JE70" s="3"/>
      <c r="JF70" s="3"/>
      <c r="JG70" s="3"/>
      <c r="JH70" s="3"/>
      <c r="JI70" s="3"/>
      <c r="JJ70" s="3"/>
      <c r="JK70" s="3"/>
      <c r="JL70" s="3"/>
      <c r="JM70" s="3"/>
      <c r="JN70" s="3"/>
      <c r="JO70" s="3"/>
      <c r="JP70" s="3"/>
      <c r="JQ70" s="3"/>
      <c r="JR70" s="3"/>
      <c r="JS70" s="3"/>
      <c r="JT70" s="3"/>
      <c r="JU70" s="3"/>
      <c r="JV70" s="3"/>
      <c r="JW70" s="3"/>
      <c r="JX70" s="3"/>
      <c r="JY70" s="3"/>
      <c r="JZ70" s="3"/>
      <c r="KA70" s="3"/>
      <c r="KB70" s="3"/>
      <c r="KC70" s="3"/>
      <c r="KD70" s="3"/>
      <c r="KE70" s="3"/>
      <c r="KF70" s="3"/>
      <c r="KG70" s="3"/>
      <c r="KH70" s="3"/>
      <c r="KI70" s="3"/>
      <c r="KJ70" s="3"/>
    </row>
    <row r="71" spans="1:296" ht="16">
      <c r="A71" s="3"/>
      <c r="B71" s="3">
        <v>70</v>
      </c>
      <c r="C71" s="3" t="s">
        <v>502</v>
      </c>
      <c r="D71" s="3" t="s">
        <v>497</v>
      </c>
      <c r="E71" s="3"/>
      <c r="F71" s="7">
        <v>1</v>
      </c>
      <c r="G71" s="14">
        <v>0</v>
      </c>
      <c r="H71" s="14">
        <v>0</v>
      </c>
      <c r="I71" s="3" t="s">
        <v>227</v>
      </c>
      <c r="J71" s="9" t="s">
        <v>498</v>
      </c>
      <c r="K71" s="1"/>
      <c r="L71" s="1"/>
      <c r="M71" s="1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 t="s">
        <v>167</v>
      </c>
      <c r="AA71" s="3" t="s">
        <v>231</v>
      </c>
      <c r="AB71" s="3" t="s">
        <v>169</v>
      </c>
      <c r="AC71" s="3">
        <v>34</v>
      </c>
      <c r="AD71" s="3">
        <v>11</v>
      </c>
      <c r="AE71" s="3">
        <v>23</v>
      </c>
      <c r="AF71" s="3">
        <v>3</v>
      </c>
      <c r="AG71" s="3">
        <v>31</v>
      </c>
      <c r="AH71" s="3" t="s">
        <v>503</v>
      </c>
      <c r="AI71" s="3" t="s">
        <v>52</v>
      </c>
      <c r="AJ71" s="3" t="s">
        <v>500</v>
      </c>
      <c r="AK71" s="10" t="s">
        <v>504</v>
      </c>
      <c r="AL71" s="3" t="s">
        <v>55</v>
      </c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  <c r="HY71" s="3"/>
      <c r="HZ71" s="3"/>
      <c r="IA71" s="3"/>
      <c r="IB71" s="3"/>
      <c r="IC71" s="3"/>
      <c r="ID71" s="3"/>
      <c r="IE71" s="3"/>
      <c r="IF71" s="3"/>
      <c r="IG71" s="3"/>
      <c r="IH71" s="3"/>
      <c r="II71" s="3"/>
      <c r="IJ71" s="3"/>
      <c r="IK71" s="3"/>
      <c r="IL71" s="3"/>
      <c r="IM71" s="3"/>
      <c r="IN71" s="3"/>
      <c r="IO71" s="3"/>
      <c r="IP71" s="3"/>
      <c r="IQ71" s="3"/>
      <c r="IR71" s="3"/>
      <c r="IS71" s="3"/>
      <c r="IT71" s="3"/>
      <c r="IU71" s="3"/>
      <c r="IV71" s="3"/>
      <c r="IW71" s="3"/>
      <c r="IX71" s="3"/>
      <c r="IY71" s="3"/>
      <c r="IZ71" s="3"/>
      <c r="JA71" s="3"/>
      <c r="JB71" s="3"/>
      <c r="JC71" s="3"/>
      <c r="JD71" s="3"/>
      <c r="JE71" s="3"/>
      <c r="JF71" s="3"/>
      <c r="JG71" s="3"/>
      <c r="JH71" s="3"/>
      <c r="JI71" s="3"/>
      <c r="JJ71" s="3"/>
      <c r="JK71" s="3"/>
      <c r="JL71" s="3"/>
      <c r="JM71" s="3"/>
      <c r="JN71" s="3"/>
      <c r="JO71" s="3"/>
      <c r="JP71" s="3"/>
      <c r="JQ71" s="3"/>
      <c r="JR71" s="3"/>
      <c r="JS71" s="3"/>
      <c r="JT71" s="3"/>
      <c r="JU71" s="3"/>
      <c r="JV71" s="3"/>
      <c r="JW71" s="3"/>
      <c r="JX71" s="3"/>
      <c r="JY71" s="3"/>
      <c r="JZ71" s="3"/>
      <c r="KA71" s="3"/>
      <c r="KB71" s="3"/>
      <c r="KC71" s="3"/>
      <c r="KD71" s="3"/>
      <c r="KE71" s="3"/>
      <c r="KF71" s="3"/>
      <c r="KG71" s="3"/>
      <c r="KH71" s="3"/>
      <c r="KI71" s="3"/>
      <c r="KJ71" s="3"/>
    </row>
    <row r="72" spans="1:296" ht="16">
      <c r="A72" s="3"/>
      <c r="B72" s="3">
        <v>71</v>
      </c>
      <c r="C72" s="3" t="s">
        <v>505</v>
      </c>
      <c r="D72" s="3" t="s">
        <v>506</v>
      </c>
      <c r="E72" s="3"/>
      <c r="F72" s="7">
        <v>1</v>
      </c>
      <c r="G72" s="14">
        <v>0</v>
      </c>
      <c r="H72" s="14">
        <v>0</v>
      </c>
      <c r="I72" s="3"/>
      <c r="J72" s="9"/>
      <c r="K72" s="1"/>
      <c r="L72" s="1"/>
      <c r="M72" s="1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 t="s">
        <v>393</v>
      </c>
      <c r="AA72" s="3" t="s">
        <v>444</v>
      </c>
      <c r="AB72" s="3" t="s">
        <v>62</v>
      </c>
      <c r="AC72" s="3">
        <v>65</v>
      </c>
      <c r="AD72" s="3">
        <v>20</v>
      </c>
      <c r="AE72" s="3">
        <v>45</v>
      </c>
      <c r="AF72" s="3">
        <v>5</v>
      </c>
      <c r="AG72" s="2">
        <v>65</v>
      </c>
      <c r="AH72" s="3"/>
      <c r="AI72" s="3"/>
      <c r="AJ72" s="3" t="s">
        <v>507</v>
      </c>
      <c r="AK72" s="10" t="s">
        <v>508</v>
      </c>
      <c r="AL72" s="3" t="s">
        <v>55</v>
      </c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  <c r="HY72" s="3"/>
      <c r="HZ72" s="3"/>
      <c r="IA72" s="3"/>
      <c r="IB72" s="3"/>
      <c r="IC72" s="3"/>
      <c r="ID72" s="3"/>
      <c r="IE72" s="3"/>
      <c r="IF72" s="3"/>
      <c r="IG72" s="3"/>
      <c r="IH72" s="3"/>
      <c r="II72" s="3"/>
      <c r="IJ72" s="3"/>
      <c r="IK72" s="3"/>
      <c r="IL72" s="3"/>
      <c r="IM72" s="3"/>
      <c r="IN72" s="3"/>
      <c r="IO72" s="3"/>
      <c r="IP72" s="3"/>
      <c r="IQ72" s="3"/>
      <c r="IR72" s="3"/>
      <c r="IS72" s="3"/>
      <c r="IT72" s="3"/>
      <c r="IU72" s="3"/>
      <c r="IV72" s="3"/>
      <c r="IW72" s="3"/>
      <c r="IX72" s="3"/>
      <c r="IY72" s="3"/>
      <c r="IZ72" s="3"/>
      <c r="JA72" s="3"/>
      <c r="JB72" s="3"/>
      <c r="JC72" s="3"/>
      <c r="JD72" s="3"/>
      <c r="JE72" s="3"/>
      <c r="JF72" s="3"/>
      <c r="JG72" s="3"/>
      <c r="JH72" s="3"/>
      <c r="JI72" s="3"/>
      <c r="JJ72" s="3"/>
      <c r="JK72" s="3"/>
      <c r="JL72" s="3"/>
      <c r="JM72" s="3"/>
      <c r="JN72" s="3"/>
      <c r="JO72" s="3"/>
      <c r="JP72" s="3"/>
      <c r="JQ72" s="3"/>
      <c r="JR72" s="3"/>
      <c r="JS72" s="3"/>
      <c r="JT72" s="3"/>
      <c r="JU72" s="3"/>
      <c r="JV72" s="3"/>
      <c r="JW72" s="3"/>
      <c r="JX72" s="3"/>
      <c r="JY72" s="3"/>
      <c r="JZ72" s="3"/>
      <c r="KA72" s="3"/>
      <c r="KB72" s="3"/>
      <c r="KC72" s="3"/>
      <c r="KD72" s="3"/>
      <c r="KE72" s="3"/>
      <c r="KF72" s="3"/>
      <c r="KG72" s="3"/>
      <c r="KH72" s="3"/>
      <c r="KI72" s="3"/>
      <c r="KJ72" s="3"/>
    </row>
    <row r="73" spans="1:296" ht="16">
      <c r="A73" s="3"/>
      <c r="B73" s="3"/>
      <c r="C73" s="3"/>
      <c r="D73" s="3"/>
      <c r="E73" s="3"/>
      <c r="F73" s="3"/>
      <c r="G73" s="3"/>
      <c r="H73" s="3"/>
      <c r="I73" s="3"/>
      <c r="J73" s="9"/>
      <c r="K73" s="1"/>
      <c r="L73" s="1"/>
      <c r="M73" s="1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 t="s">
        <v>509</v>
      </c>
      <c r="AK73" s="17" t="s">
        <v>510</v>
      </c>
      <c r="AL73" s="3" t="s">
        <v>90</v>
      </c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  <c r="GZ73" s="3"/>
      <c r="HA73" s="3"/>
      <c r="HB73" s="3"/>
      <c r="HC73" s="3"/>
      <c r="HD73" s="3"/>
      <c r="HE73" s="3"/>
      <c r="HF73" s="3"/>
      <c r="HG73" s="3"/>
      <c r="HH73" s="3"/>
      <c r="HI73" s="3"/>
      <c r="HJ73" s="3"/>
      <c r="HK73" s="3"/>
      <c r="HL73" s="3"/>
      <c r="HM73" s="3"/>
      <c r="HN73" s="3"/>
      <c r="HO73" s="3"/>
      <c r="HP73" s="3"/>
      <c r="HQ73" s="3"/>
      <c r="HR73" s="3"/>
      <c r="HS73" s="3"/>
      <c r="HT73" s="3"/>
      <c r="HU73" s="3"/>
      <c r="HV73" s="3"/>
      <c r="HW73" s="3"/>
      <c r="HX73" s="3"/>
      <c r="HY73" s="3"/>
      <c r="HZ73" s="3"/>
      <c r="IA73" s="3"/>
      <c r="IB73" s="3"/>
      <c r="IC73" s="3"/>
      <c r="ID73" s="3"/>
      <c r="IE73" s="3"/>
      <c r="IF73" s="3"/>
      <c r="IG73" s="3"/>
      <c r="IH73" s="3"/>
      <c r="II73" s="3"/>
      <c r="IJ73" s="3"/>
      <c r="IK73" s="3"/>
      <c r="IL73" s="3"/>
      <c r="IM73" s="3"/>
      <c r="IN73" s="3"/>
      <c r="IO73" s="3"/>
      <c r="IP73" s="3"/>
      <c r="IQ73" s="3"/>
      <c r="IR73" s="3"/>
      <c r="IS73" s="3"/>
      <c r="IT73" s="3"/>
      <c r="IU73" s="3"/>
      <c r="IV73" s="3"/>
      <c r="IW73" s="3"/>
      <c r="IX73" s="3"/>
      <c r="IY73" s="3"/>
      <c r="IZ73" s="3"/>
      <c r="JA73" s="3"/>
      <c r="JB73" s="3"/>
      <c r="JC73" s="3"/>
      <c r="JD73" s="3"/>
      <c r="JE73" s="3"/>
      <c r="JF73" s="3"/>
      <c r="JG73" s="3"/>
      <c r="JH73" s="3"/>
      <c r="JI73" s="3"/>
      <c r="JJ73" s="3"/>
      <c r="JK73" s="3"/>
      <c r="JL73" s="3"/>
      <c r="JM73" s="3"/>
      <c r="JN73" s="3"/>
      <c r="JO73" s="3"/>
      <c r="JP73" s="3"/>
      <c r="JQ73" s="3"/>
      <c r="JR73" s="3"/>
      <c r="JS73" s="3"/>
      <c r="JT73" s="3"/>
      <c r="JU73" s="3"/>
      <c r="JV73" s="3"/>
      <c r="JW73" s="3"/>
      <c r="JX73" s="3"/>
      <c r="JY73" s="3"/>
      <c r="JZ73" s="3"/>
      <c r="KA73" s="3"/>
      <c r="KB73" s="3"/>
      <c r="KC73" s="3"/>
      <c r="KD73" s="3"/>
      <c r="KE73" s="3"/>
      <c r="KF73" s="3"/>
      <c r="KG73" s="3"/>
      <c r="KH73" s="3"/>
      <c r="KI73" s="3"/>
      <c r="KJ73" s="3"/>
    </row>
    <row r="74" spans="1:296" ht="16">
      <c r="A74" s="3"/>
      <c r="B74" s="3"/>
      <c r="C74" s="3"/>
      <c r="D74" s="3"/>
      <c r="E74" s="3"/>
      <c r="F74" s="3"/>
      <c r="G74" s="3"/>
      <c r="H74" s="3"/>
      <c r="I74" s="3"/>
      <c r="J74" s="9"/>
      <c r="K74" s="1"/>
      <c r="L74" s="1"/>
      <c r="M74" s="1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 t="s">
        <v>52</v>
      </c>
      <c r="AJ74" s="3" t="s">
        <v>511</v>
      </c>
      <c r="AK74" s="10" t="s">
        <v>512</v>
      </c>
      <c r="AL74" s="3" t="s">
        <v>90</v>
      </c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  <c r="GZ74" s="3"/>
      <c r="HA74" s="3"/>
      <c r="HB74" s="3"/>
      <c r="HC74" s="3"/>
      <c r="HD74" s="3"/>
      <c r="HE74" s="3"/>
      <c r="HF74" s="3"/>
      <c r="HG74" s="3"/>
      <c r="HH74" s="3"/>
      <c r="HI74" s="3"/>
      <c r="HJ74" s="3"/>
      <c r="HK74" s="3"/>
      <c r="HL74" s="3"/>
      <c r="HM74" s="3"/>
      <c r="HN74" s="3"/>
      <c r="HO74" s="3"/>
      <c r="HP74" s="3"/>
      <c r="HQ74" s="3"/>
      <c r="HR74" s="3"/>
      <c r="HS74" s="3"/>
      <c r="HT74" s="3"/>
      <c r="HU74" s="3"/>
      <c r="HV74" s="3"/>
      <c r="HW74" s="3"/>
      <c r="HX74" s="3"/>
      <c r="HY74" s="3"/>
      <c r="HZ74" s="3"/>
      <c r="IA74" s="3"/>
      <c r="IB74" s="3"/>
      <c r="IC74" s="3"/>
      <c r="ID74" s="3"/>
      <c r="IE74" s="3"/>
      <c r="IF74" s="3"/>
      <c r="IG74" s="3"/>
      <c r="IH74" s="3"/>
      <c r="II74" s="3"/>
      <c r="IJ74" s="3"/>
      <c r="IK74" s="3"/>
      <c r="IL74" s="3"/>
      <c r="IM74" s="3"/>
      <c r="IN74" s="3"/>
      <c r="IO74" s="3"/>
      <c r="IP74" s="3"/>
      <c r="IQ74" s="3"/>
      <c r="IR74" s="3"/>
      <c r="IS74" s="3"/>
      <c r="IT74" s="3"/>
      <c r="IU74" s="3"/>
      <c r="IV74" s="3"/>
      <c r="IW74" s="3"/>
      <c r="IX74" s="3"/>
      <c r="IY74" s="3"/>
      <c r="IZ74" s="3"/>
      <c r="JA74" s="3"/>
      <c r="JB74" s="3"/>
      <c r="JC74" s="3"/>
      <c r="JD74" s="3"/>
      <c r="JE74" s="3"/>
      <c r="JF74" s="3"/>
      <c r="JG74" s="3"/>
      <c r="JH74" s="3"/>
      <c r="JI74" s="3"/>
      <c r="JJ74" s="3"/>
      <c r="JK74" s="3"/>
      <c r="JL74" s="3"/>
      <c r="JM74" s="3"/>
      <c r="JN74" s="3"/>
      <c r="JO74" s="3"/>
      <c r="JP74" s="3"/>
      <c r="JQ74" s="3"/>
      <c r="JR74" s="3"/>
      <c r="JS74" s="3"/>
      <c r="JT74" s="3"/>
      <c r="JU74" s="3"/>
      <c r="JV74" s="3"/>
      <c r="JW74" s="3"/>
      <c r="JX74" s="3"/>
      <c r="JY74" s="3"/>
      <c r="JZ74" s="3"/>
      <c r="KA74" s="3"/>
      <c r="KB74" s="3"/>
      <c r="KC74" s="3"/>
      <c r="KD74" s="3"/>
      <c r="KE74" s="3"/>
      <c r="KF74" s="3"/>
      <c r="KG74" s="3"/>
      <c r="KH74" s="3"/>
      <c r="KI74" s="3"/>
      <c r="KJ74" s="3"/>
    </row>
    <row r="75" spans="1:296" ht="16">
      <c r="A75" s="3"/>
      <c r="B75" s="3"/>
      <c r="C75" s="3"/>
      <c r="D75" s="3"/>
      <c r="E75" s="3"/>
      <c r="F75" s="3"/>
      <c r="G75" s="3"/>
      <c r="H75" s="3"/>
      <c r="I75" s="3"/>
      <c r="J75" s="9"/>
      <c r="K75" s="1"/>
      <c r="L75" s="1"/>
      <c r="M75" s="1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10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  <c r="GZ75" s="3"/>
      <c r="HA75" s="3"/>
      <c r="HB75" s="3"/>
      <c r="HC75" s="3"/>
      <c r="HD75" s="3"/>
      <c r="HE75" s="3"/>
      <c r="HF75" s="3"/>
      <c r="HG75" s="3"/>
      <c r="HH75" s="3"/>
      <c r="HI75" s="3"/>
      <c r="HJ75" s="3"/>
      <c r="HK75" s="3"/>
      <c r="HL75" s="3"/>
      <c r="HM75" s="3"/>
      <c r="HN75" s="3"/>
      <c r="HO75" s="3"/>
      <c r="HP75" s="3"/>
      <c r="HQ75" s="3"/>
      <c r="HR75" s="3"/>
      <c r="HS75" s="3"/>
      <c r="HT75" s="3"/>
      <c r="HU75" s="3"/>
      <c r="HV75" s="3"/>
      <c r="HW75" s="3"/>
      <c r="HX75" s="3"/>
      <c r="HY75" s="3"/>
      <c r="HZ75" s="3"/>
      <c r="IA75" s="3"/>
      <c r="IB75" s="3"/>
      <c r="IC75" s="3"/>
      <c r="ID75" s="3"/>
      <c r="IE75" s="3"/>
      <c r="IF75" s="3"/>
      <c r="IG75" s="3"/>
      <c r="IH75" s="3"/>
      <c r="II75" s="3"/>
      <c r="IJ75" s="3"/>
      <c r="IK75" s="3"/>
      <c r="IL75" s="3"/>
      <c r="IM75" s="3"/>
      <c r="IN75" s="3"/>
      <c r="IO75" s="3"/>
      <c r="IP75" s="3"/>
      <c r="IQ75" s="3"/>
      <c r="IR75" s="3"/>
      <c r="IS75" s="3"/>
      <c r="IT75" s="3"/>
      <c r="IU75" s="3"/>
      <c r="IV75" s="3"/>
      <c r="IW75" s="3"/>
      <c r="IX75" s="3"/>
      <c r="IY75" s="3"/>
      <c r="IZ75" s="3"/>
      <c r="JA75" s="3"/>
      <c r="JB75" s="3"/>
      <c r="JC75" s="3"/>
      <c r="JD75" s="3"/>
      <c r="JE75" s="3"/>
      <c r="JF75" s="3"/>
      <c r="JG75" s="3"/>
      <c r="JH75" s="3"/>
      <c r="JI75" s="3"/>
      <c r="JJ75" s="3"/>
      <c r="JK75" s="3"/>
      <c r="JL75" s="3"/>
      <c r="JM75" s="3"/>
      <c r="JN75" s="3"/>
      <c r="JO75" s="3"/>
      <c r="JP75" s="3"/>
      <c r="JQ75" s="3"/>
      <c r="JR75" s="3"/>
      <c r="JS75" s="3"/>
      <c r="JT75" s="3"/>
      <c r="JU75" s="3"/>
      <c r="JV75" s="3"/>
      <c r="JW75" s="3"/>
      <c r="JX75" s="3"/>
      <c r="JY75" s="3"/>
      <c r="JZ75" s="3"/>
      <c r="KA75" s="3"/>
      <c r="KB75" s="3"/>
      <c r="KC75" s="3"/>
      <c r="KD75" s="3"/>
      <c r="KE75" s="3"/>
      <c r="KF75" s="3"/>
      <c r="KG75" s="3"/>
      <c r="KH75" s="3"/>
      <c r="KI75" s="3"/>
      <c r="KJ75" s="3"/>
    </row>
    <row r="76" spans="1:296" ht="16">
      <c r="A76" s="3"/>
      <c r="B76" s="3"/>
      <c r="C76" s="3"/>
      <c r="D76" s="3"/>
      <c r="E76" s="3"/>
      <c r="I76" s="3"/>
      <c r="J76" s="9"/>
      <c r="K76" s="1"/>
      <c r="L76" s="1"/>
      <c r="M76" s="1"/>
      <c r="N76" s="3"/>
      <c r="O76" s="3"/>
      <c r="P76" s="3"/>
      <c r="Q76" s="3"/>
      <c r="R76" s="3"/>
      <c r="AK76" s="10"/>
    </row>
    <row r="77" spans="1:296" ht="16">
      <c r="M77" s="1"/>
    </row>
  </sheetData>
  <autoFilter ref="A1:AL74" xr:uid="{00000000-0009-0000-0000-000000000000}"/>
  <mergeCells count="88">
    <mergeCell ref="M51:M53"/>
    <mergeCell ref="M56:M57"/>
    <mergeCell ref="M60:M61"/>
    <mergeCell ref="M63:M64"/>
    <mergeCell ref="M65:M66"/>
    <mergeCell ref="L60:L61"/>
    <mergeCell ref="L63:L64"/>
    <mergeCell ref="L65:L66"/>
    <mergeCell ref="M2:M5"/>
    <mergeCell ref="M7:M8"/>
    <mergeCell ref="M12:M13"/>
    <mergeCell ref="M14:M15"/>
    <mergeCell ref="M16:M18"/>
    <mergeCell ref="M19:M20"/>
    <mergeCell ref="M21:M22"/>
    <mergeCell ref="M23:M26"/>
    <mergeCell ref="M27:M29"/>
    <mergeCell ref="M30:M32"/>
    <mergeCell ref="M39:M42"/>
    <mergeCell ref="M45:M47"/>
    <mergeCell ref="M48:M49"/>
    <mergeCell ref="L37:L38"/>
    <mergeCell ref="L39:L42"/>
    <mergeCell ref="L45:L47"/>
    <mergeCell ref="L48:L49"/>
    <mergeCell ref="L51:L53"/>
    <mergeCell ref="L19:L20"/>
    <mergeCell ref="L21:L22"/>
    <mergeCell ref="L23:L26"/>
    <mergeCell ref="L27:L29"/>
    <mergeCell ref="L30:L32"/>
    <mergeCell ref="L2:L5"/>
    <mergeCell ref="L7:L8"/>
    <mergeCell ref="L12:L13"/>
    <mergeCell ref="L14:L15"/>
    <mergeCell ref="L16:L18"/>
    <mergeCell ref="K48:K49"/>
    <mergeCell ref="K51:K53"/>
    <mergeCell ref="K60:K61"/>
    <mergeCell ref="K63:K64"/>
    <mergeCell ref="K65:K66"/>
    <mergeCell ref="J60:J61"/>
    <mergeCell ref="J63:J64"/>
    <mergeCell ref="J65:J66"/>
    <mergeCell ref="K2:K5"/>
    <mergeCell ref="K7:K8"/>
    <mergeCell ref="K12:K13"/>
    <mergeCell ref="K14:K15"/>
    <mergeCell ref="K16:K18"/>
    <mergeCell ref="K19:K20"/>
    <mergeCell ref="K21:K22"/>
    <mergeCell ref="K23:K26"/>
    <mergeCell ref="K27:K29"/>
    <mergeCell ref="K30:K32"/>
    <mergeCell ref="K36:K38"/>
    <mergeCell ref="K39:K42"/>
    <mergeCell ref="K45:K47"/>
    <mergeCell ref="I63:I64"/>
    <mergeCell ref="I65:I66"/>
    <mergeCell ref="J2:J5"/>
    <mergeCell ref="J7:J8"/>
    <mergeCell ref="J12:J13"/>
    <mergeCell ref="J14:J15"/>
    <mergeCell ref="J16:J18"/>
    <mergeCell ref="J19:J20"/>
    <mergeCell ref="J21:J22"/>
    <mergeCell ref="J23:J26"/>
    <mergeCell ref="J27:J29"/>
    <mergeCell ref="J30:J32"/>
    <mergeCell ref="J35:J42"/>
    <mergeCell ref="J45:J47"/>
    <mergeCell ref="J48:J49"/>
    <mergeCell ref="J51:J53"/>
    <mergeCell ref="I35:I42"/>
    <mergeCell ref="I45:I47"/>
    <mergeCell ref="I48:I49"/>
    <mergeCell ref="I51:I53"/>
    <mergeCell ref="I60:I61"/>
    <mergeCell ref="I19:I20"/>
    <mergeCell ref="I21:I22"/>
    <mergeCell ref="I23:I26"/>
    <mergeCell ref="I27:I29"/>
    <mergeCell ref="I30:I32"/>
    <mergeCell ref="I2:I5"/>
    <mergeCell ref="I7:I8"/>
    <mergeCell ref="I12:I13"/>
    <mergeCell ref="I14:I15"/>
    <mergeCell ref="I16:I18"/>
  </mergeCells>
  <hyperlinks>
    <hyperlink ref="M58" r:id="rId1" tooltip="https://link.springer.com/journal/13415" xr:uid="{00000000-0004-0000-0000-000000000000}"/>
    <hyperlink ref="J2" r:id="rId2" tooltip="mailto:merryndconstable@gmail.com" xr:uid="{00000000-0004-0000-0000-000001000000}"/>
    <hyperlink ref="J6" r:id="rId3" tooltip="mailto:merryndconstable@gmail.com" xr:uid="{00000000-0004-0000-0000-000002000000}"/>
    <hyperlink ref="J9" r:id="rId4" xr:uid="{00000000-0004-0000-0000-000003000000}"/>
    <hyperlink ref="J12" r:id="rId5" xr:uid="{00000000-0004-0000-0000-000004000000}"/>
    <hyperlink ref="J14" r:id="rId6" xr:uid="{00000000-0004-0000-0000-000005000000}"/>
    <hyperlink ref="J16" r:id="rId7" xr:uid="{00000000-0004-0000-0000-000006000000}"/>
    <hyperlink ref="J19" r:id="rId8" xr:uid="{00000000-0004-0000-0000-000007000000}"/>
    <hyperlink ref="J11" r:id="rId9" xr:uid="{00000000-0004-0000-0000-000008000000}"/>
    <hyperlink ref="J21" r:id="rId10" xr:uid="{00000000-0004-0000-0000-000009000000}"/>
    <hyperlink ref="J23" r:id="rId11" xr:uid="{00000000-0004-0000-0000-00000A000000}"/>
    <hyperlink ref="J27" r:id="rId12" xr:uid="{00000000-0004-0000-0000-00000B000000}"/>
    <hyperlink ref="J35" r:id="rId13" xr:uid="{00000000-0004-0000-0000-00000C000000}"/>
    <hyperlink ref="J54" r:id="rId14" tooltip="mailto:wf3126@mail.tsinghua.edu.cn" xr:uid="{00000000-0004-0000-0000-00000D000000}"/>
    <hyperlink ref="J56" r:id="rId15" xr:uid="{00000000-0004-0000-0000-00000E000000}"/>
    <hyperlink ref="J57" r:id="rId16" xr:uid="{00000000-0004-0000-0000-00000F000000}"/>
    <hyperlink ref="AK21" r:id="rId17" tooltip="https://osf.io/8bktn/" xr:uid="{00000000-0004-0000-0000-000010000000}"/>
    <hyperlink ref="AK22" r:id="rId18" xr:uid="{00000000-0004-0000-0000-000011000000}"/>
    <hyperlink ref="AK2" r:id="rId19" tooltip="https://osf.io/sejw7/" xr:uid="{00000000-0004-0000-0000-000012000000}"/>
    <hyperlink ref="AK3" r:id="rId20" tooltip="https://osf.io/sejw7/" xr:uid="{00000000-0004-0000-0000-000013000000}"/>
    <hyperlink ref="AK4" r:id="rId21" tooltip="https://osf.io/sejw7/" xr:uid="{00000000-0004-0000-0000-000014000000}"/>
    <hyperlink ref="AK5" r:id="rId22" tooltip="https://osf.io/sejw7/" xr:uid="{00000000-0004-0000-0000-000015000000}"/>
    <hyperlink ref="AK6" r:id="rId23" tooltip="https://osf.io/5zaej/" xr:uid="{00000000-0004-0000-0000-000016000000}"/>
    <hyperlink ref="AK9" r:id="rId24" tooltip="https://osf.io/4zvkm/" xr:uid="{00000000-0004-0000-0000-000017000000}"/>
    <hyperlink ref="AK12" r:id="rId25" tooltip="https://osf.io/khyjq/" xr:uid="{00000000-0004-0000-0000-000018000000}"/>
    <hyperlink ref="AK23" r:id="rId26" xr:uid="{00000000-0004-0000-0000-000019000000}"/>
    <hyperlink ref="AK24" r:id="rId27" xr:uid="{00000000-0004-0000-0000-00001A000000}"/>
    <hyperlink ref="AK25" r:id="rId28" xr:uid="{00000000-0004-0000-0000-00001B000000}"/>
    <hyperlink ref="AK26" r:id="rId29" xr:uid="{00000000-0004-0000-0000-00001C000000}"/>
    <hyperlink ref="AK27" r:id="rId30" tooltip="https://osf.io/3ke4f/" xr:uid="{00000000-0004-0000-0000-00001D000000}"/>
    <hyperlink ref="AK28" r:id="rId31" tooltip="https://osf.io/3ke4f/" xr:uid="{00000000-0004-0000-0000-00001E000000}"/>
    <hyperlink ref="AK29" r:id="rId32" xr:uid="{00000000-0004-0000-0000-00001F000000}"/>
    <hyperlink ref="AK43" r:id="rId33" tooltip="https://osf.io/2juxk/?view_only=b4e01124337a4801b4beb99dbe803b8d" xr:uid="{00000000-0004-0000-0000-000020000000}"/>
    <hyperlink ref="AK44" r:id="rId34" tooltip="https://researchdata.bath.ac.uk/924/" xr:uid="{00000000-0004-0000-0000-000021000000}"/>
    <hyperlink ref="AK30" r:id="rId35" tooltip="https://osf.io/cj7fp/" xr:uid="{00000000-0004-0000-0000-000022000000}"/>
    <hyperlink ref="AK31" r:id="rId36" xr:uid="{00000000-0004-0000-0000-000023000000}"/>
    <hyperlink ref="AK32" r:id="rId37" xr:uid="{00000000-0004-0000-0000-000024000000}"/>
    <hyperlink ref="AK34" r:id="rId38" tooltip="https://osf.io/4n6j7/" xr:uid="{00000000-0004-0000-0000-000025000000}"/>
    <hyperlink ref="AK35" r:id="rId39" tooltip="https://zenodo.org/records/8031086" xr:uid="{00000000-0004-0000-0000-000026000000}"/>
    <hyperlink ref="AK45" r:id="rId40" tooltip="https://osf.io/u9ty6/?view_only=9bdbbaf95f9a4d9c8bc53dd1a29563ae." xr:uid="{00000000-0004-0000-0000-000027000000}"/>
    <hyperlink ref="AK48" r:id="rId41" tooltip="https://doi.org/10.17605/OSF.IO/FE3JW" xr:uid="{00000000-0004-0000-0000-000028000000}"/>
    <hyperlink ref="AK49" r:id="rId42" xr:uid="{00000000-0004-0000-0000-000029000000}"/>
    <hyperlink ref="AK50" r:id="rId43" tooltip="https://doi.org/10.26180/20011142" xr:uid="{00000000-0004-0000-0000-00002A000000}"/>
    <hyperlink ref="AK51" r:id="rId44" tooltip="https://osf.io/35wp9" xr:uid="{00000000-0004-0000-0000-00002B000000}"/>
    <hyperlink ref="AK52" r:id="rId45" tooltip="https://osf.io/35wp9" xr:uid="{00000000-0004-0000-0000-00002C000000}"/>
    <hyperlink ref="AK53" r:id="rId46" tooltip="https://osf.io/35wp9" xr:uid="{00000000-0004-0000-0000-00002D000000}"/>
    <hyperlink ref="AK54" r:id="rId47" tooltip="https://osf.io/hbrus/?view_only=98b2095f72e64fd382fc0d33de3f4497" xr:uid="{00000000-0004-0000-0000-00002E000000}"/>
    <hyperlink ref="AK20" r:id="rId48" location="sec025" xr:uid="{00000000-0004-0000-0000-00002F000000}"/>
    <hyperlink ref="AK19" r:id="rId49" location="sec025" tooltip="https://journals.plos.org/plosone/article?id=10.1371/journal.pone.0190679#sec025" xr:uid="{00000000-0004-0000-0000-000030000000}"/>
    <hyperlink ref="AK57" r:id="rId50" xr:uid="{00000000-0004-0000-0000-000031000000}"/>
    <hyperlink ref="AK58" r:id="rId51" tooltip="https://doi.org/10.3758/s13415-024-01157-0" xr:uid="{00000000-0004-0000-0000-000032000000}"/>
    <hyperlink ref="AK60" r:id="rId52" tooltip="https://doi.org/10.17605/OSF.IO/XA4H8" xr:uid="{00000000-0004-0000-0000-000033000000}"/>
    <hyperlink ref="AK61" r:id="rId53" tooltip="https://doi.org/10.17605/OSF.IO/XA4H8" xr:uid="{00000000-0004-0000-0000-000034000000}"/>
    <hyperlink ref="AK62" r:id="rId54" tooltip="https://osf.io/br98c/" xr:uid="{00000000-0004-0000-0000-000035000000}"/>
    <hyperlink ref="J63" r:id="rId55" xr:uid="{00000000-0004-0000-0000-000036000000}"/>
    <hyperlink ref="AK63" r:id="rId56" xr:uid="{00000000-0004-0000-0000-000037000000}"/>
    <hyperlink ref="J59" r:id="rId57" xr:uid="{00000000-0004-0000-0000-000038000000}"/>
    <hyperlink ref="J64" r:id="rId58" display="mailto:n.kirk@abertay.ac.uk" xr:uid="{00000000-0004-0000-0000-000039000000}"/>
    <hyperlink ref="AK64" r:id="rId59" xr:uid="{00000000-0004-0000-0000-00003A000000}"/>
    <hyperlink ref="AK46" r:id="rId60" tooltip="https://osf.io/u9ty6/?view_only=9bdbbaf95f9a4d9c8bc53dd1a29563ae." xr:uid="{00000000-0004-0000-0000-00003B000000}"/>
    <hyperlink ref="AK47" r:id="rId61" tooltip="https://osf.io/u9ty6/?view_only=9bdbbaf95f9a4d9c8bc53dd1a29563ae." xr:uid="{00000000-0004-0000-0000-00003C000000}"/>
    <hyperlink ref="AK65" r:id="rId62" xr:uid="{00000000-0004-0000-0000-00003D000000}"/>
    <hyperlink ref="AK66" r:id="rId63" xr:uid="{00000000-0004-0000-0000-00003E000000}"/>
    <hyperlink ref="AK67" r:id="rId64" xr:uid="{00000000-0004-0000-0000-00003F000000}"/>
    <hyperlink ref="AK68" r:id="rId65" xr:uid="{00000000-0004-0000-0000-000040000000}"/>
    <hyperlink ref="AK14" r:id="rId66" tooltip="https://osf.io/bw27c" xr:uid="{00000000-0004-0000-0000-000041000000}"/>
    <hyperlink ref="AK15" r:id="rId67" xr:uid="{00000000-0004-0000-0000-000042000000}"/>
    <hyperlink ref="AK7" r:id="rId68" xr:uid="{00000000-0004-0000-0000-000043000000}"/>
    <hyperlink ref="AK8" r:id="rId69" xr:uid="{00000000-0004-0000-0000-000044000000}"/>
    <hyperlink ref="AK70" r:id="rId70" xr:uid="{00000000-0004-0000-0000-000045000000}"/>
    <hyperlink ref="AK71" r:id="rId71" xr:uid="{00000000-0004-0000-0000-000046000000}"/>
    <hyperlink ref="AK72" r:id="rId72" tooltip="https://osf.io/zyauc/." xr:uid="{00000000-0004-0000-0000-000047000000}"/>
    <hyperlink ref="AK16" r:id="rId73" tooltip="http://dx.doi.org/10.23668/psycharchives.2642" xr:uid="{00000000-0004-0000-0000-000048000000}"/>
    <hyperlink ref="AK11" r:id="rId74" tooltip="https://figshare.com/s/e1391ebe3f11e8d70d9f" xr:uid="{00000000-0004-0000-0000-000049000000}"/>
    <hyperlink ref="AK59" r:id="rId75" xr:uid="{00000000-0004-0000-0000-00004A000000}"/>
    <hyperlink ref="AK73" r:id="rId76" tooltip="https://osf.io/ehu75" xr:uid="{00000000-0004-0000-0000-00004B000000}"/>
    <hyperlink ref="AK74" r:id="rId77" xr:uid="{00000000-0004-0000-0000-00004C000000}"/>
    <hyperlink ref="AK17" r:id="rId78" tooltip="http://dx.doi.org/10.23668/psycharchives.2642" xr:uid="{00000000-0004-0000-0000-00004D000000}"/>
    <hyperlink ref="AK18" r:id="rId79" tooltip="http://dx.doi.org/10.23668/psycharchives.2642" xr:uid="{00000000-0004-0000-0000-00004E000000}"/>
    <hyperlink ref="J62" r:id="rId80" xr:uid="{00000000-0004-0000-0000-00004F000000}"/>
    <hyperlink ref="AK13" r:id="rId81" xr:uid="{00000000-0004-0000-0000-000050000000}"/>
    <hyperlink ref="J70" r:id="rId82" xr:uid="{00000000-0004-0000-0000-000051000000}"/>
    <hyperlink ref="J71" r:id="rId83" xr:uid="{00000000-0004-0000-0000-000052000000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7"/>
  <sheetViews>
    <sheetView topLeftCell="T46" zoomScale="55" zoomScaleNormal="55" workbookViewId="0">
      <selection activeCell="AD62" sqref="AD62"/>
    </sheetView>
  </sheetViews>
  <sheetFormatPr baseColWidth="10" defaultColWidth="8.6640625" defaultRowHeight="15"/>
  <cols>
    <col min="1" max="1" width="3.6640625" customWidth="1"/>
    <col min="2" max="2" width="9.1640625" customWidth="1"/>
    <col min="3" max="3" width="6" customWidth="1"/>
    <col min="4" max="4" width="25.6640625" customWidth="1"/>
  </cols>
  <sheetData>
    <row r="1" spans="1:12" ht="16">
      <c r="A1" s="1" t="s">
        <v>1</v>
      </c>
      <c r="B1" s="1" t="s">
        <v>2</v>
      </c>
      <c r="C1" s="1" t="s">
        <v>3</v>
      </c>
      <c r="D1" s="2" t="s">
        <v>34</v>
      </c>
    </row>
    <row r="2" spans="1:12" ht="16">
      <c r="A2" s="3">
        <v>1</v>
      </c>
      <c r="B2" s="3" t="s">
        <v>38</v>
      </c>
      <c r="C2" s="3" t="s">
        <v>39</v>
      </c>
      <c r="D2" s="3" t="s">
        <v>53</v>
      </c>
    </row>
    <row r="3" spans="1:12" ht="16">
      <c r="A3" s="3">
        <v>2</v>
      </c>
      <c r="B3" s="3" t="s">
        <v>56</v>
      </c>
      <c r="C3" s="3" t="s">
        <v>39</v>
      </c>
      <c r="D3" s="3" t="s">
        <v>53</v>
      </c>
    </row>
    <row r="4" spans="1:12" ht="16">
      <c r="A4" s="3">
        <v>3</v>
      </c>
      <c r="B4" s="3" t="s">
        <v>57</v>
      </c>
      <c r="C4" s="3" t="s">
        <v>39</v>
      </c>
      <c r="D4" s="3" t="s">
        <v>53</v>
      </c>
    </row>
    <row r="5" spans="1:12" ht="16">
      <c r="A5" s="3">
        <v>4</v>
      </c>
      <c r="B5" s="3" t="s">
        <v>58</v>
      </c>
      <c r="C5" s="3" t="s">
        <v>39</v>
      </c>
      <c r="D5" s="3" t="s">
        <v>53</v>
      </c>
    </row>
    <row r="6" spans="1:12" ht="16">
      <c r="A6" s="3">
        <v>5</v>
      </c>
      <c r="B6" s="3" t="s">
        <v>63</v>
      </c>
      <c r="C6" s="3" t="s">
        <v>64</v>
      </c>
      <c r="D6" s="3" t="s">
        <v>74</v>
      </c>
      <c r="L6" s="4"/>
    </row>
    <row r="7" spans="1:12" ht="16">
      <c r="A7" s="3">
        <v>6</v>
      </c>
      <c r="B7" s="3" t="s">
        <v>92</v>
      </c>
      <c r="C7" s="3" t="s">
        <v>93</v>
      </c>
      <c r="D7" s="3" t="s">
        <v>103</v>
      </c>
    </row>
    <row r="8" spans="1:12" ht="16">
      <c r="A8" s="3">
        <v>7</v>
      </c>
      <c r="B8" s="3" t="s">
        <v>106</v>
      </c>
      <c r="C8" s="3" t="s">
        <v>107</v>
      </c>
      <c r="D8" s="3" t="s">
        <v>115</v>
      </c>
    </row>
    <row r="9" spans="1:12" ht="16">
      <c r="A9" s="3">
        <v>8</v>
      </c>
      <c r="B9" s="3" t="s">
        <v>118</v>
      </c>
      <c r="C9" s="3" t="s">
        <v>119</v>
      </c>
      <c r="D9" s="3" t="s">
        <v>130</v>
      </c>
    </row>
    <row r="10" spans="1:12" ht="16">
      <c r="A10" s="3">
        <v>9</v>
      </c>
      <c r="B10" s="3" t="s">
        <v>140</v>
      </c>
      <c r="C10" s="3" t="s">
        <v>133</v>
      </c>
      <c r="D10" s="3" t="s">
        <v>138</v>
      </c>
    </row>
    <row r="11" spans="1:12" ht="16">
      <c r="A11" s="3">
        <v>10</v>
      </c>
      <c r="B11" s="3" t="s">
        <v>143</v>
      </c>
      <c r="C11" s="3" t="s">
        <v>144</v>
      </c>
      <c r="D11" s="3" t="s">
        <v>153</v>
      </c>
    </row>
    <row r="12" spans="1:12" ht="16">
      <c r="A12" s="3">
        <v>11</v>
      </c>
      <c r="B12" s="3" t="s">
        <v>155</v>
      </c>
      <c r="C12" s="3" t="s">
        <v>144</v>
      </c>
      <c r="D12" s="3" t="s">
        <v>153</v>
      </c>
    </row>
    <row r="13" spans="1:12" ht="16">
      <c r="A13" s="3">
        <v>12</v>
      </c>
      <c r="B13" s="3" t="s">
        <v>159</v>
      </c>
      <c r="C13" s="3" t="s">
        <v>160</v>
      </c>
      <c r="D13" s="3" t="s">
        <v>172</v>
      </c>
    </row>
    <row r="14" spans="1:12" ht="16">
      <c r="A14" s="3">
        <v>13</v>
      </c>
      <c r="B14" s="3" t="s">
        <v>179</v>
      </c>
      <c r="C14" s="3" t="s">
        <v>180</v>
      </c>
      <c r="D14" s="3" t="s">
        <v>189</v>
      </c>
    </row>
    <row r="15" spans="1:12" ht="16">
      <c r="A15" s="3">
        <v>14</v>
      </c>
      <c r="B15" s="3" t="s">
        <v>191</v>
      </c>
      <c r="C15" s="3" t="s">
        <v>180</v>
      </c>
      <c r="D15" s="3" t="s">
        <v>189</v>
      </c>
    </row>
    <row r="16" spans="1:12" ht="16">
      <c r="A16" s="3">
        <v>15</v>
      </c>
      <c r="B16" s="3" t="s">
        <v>193</v>
      </c>
      <c r="C16" s="3" t="s">
        <v>194</v>
      </c>
      <c r="D16" s="3" t="s">
        <v>201</v>
      </c>
    </row>
    <row r="17" spans="1:4" ht="16">
      <c r="A17" s="3">
        <v>16</v>
      </c>
      <c r="B17" s="3" t="s">
        <v>193</v>
      </c>
      <c r="C17" s="3" t="s">
        <v>194</v>
      </c>
      <c r="D17" s="3" t="s">
        <v>201</v>
      </c>
    </row>
    <row r="18" spans="1:4" ht="16">
      <c r="A18" s="3">
        <v>17</v>
      </c>
      <c r="B18" s="3" t="s">
        <v>206</v>
      </c>
      <c r="C18" s="3" t="s">
        <v>207</v>
      </c>
      <c r="D18" s="3" t="s">
        <v>215</v>
      </c>
    </row>
    <row r="19" spans="1:4" ht="16">
      <c r="A19" s="3">
        <v>18</v>
      </c>
      <c r="B19" s="3" t="s">
        <v>218</v>
      </c>
      <c r="C19" s="3" t="s">
        <v>207</v>
      </c>
      <c r="D19" s="3" t="s">
        <v>215</v>
      </c>
    </row>
    <row r="20" spans="1:4" ht="16">
      <c r="A20" s="3">
        <v>19</v>
      </c>
      <c r="B20" s="3" t="s">
        <v>222</v>
      </c>
      <c r="C20" s="3" t="s">
        <v>207</v>
      </c>
      <c r="D20" s="3" t="s">
        <v>215</v>
      </c>
    </row>
    <row r="21" spans="1:4" ht="16">
      <c r="A21" s="3">
        <v>20</v>
      </c>
      <c r="B21" s="3" t="s">
        <v>224</v>
      </c>
      <c r="C21" s="3" t="s">
        <v>207</v>
      </c>
      <c r="D21" s="3" t="s">
        <v>215</v>
      </c>
    </row>
    <row r="22" spans="1:4" ht="16">
      <c r="A22" s="3">
        <v>21</v>
      </c>
      <c r="B22" s="3" t="s">
        <v>225</v>
      </c>
      <c r="C22" s="3" t="s">
        <v>226</v>
      </c>
      <c r="D22" s="3" t="s">
        <v>233</v>
      </c>
    </row>
    <row r="23" spans="1:4" ht="16">
      <c r="A23" s="3">
        <v>22</v>
      </c>
      <c r="B23" s="3" t="s">
        <v>235</v>
      </c>
      <c r="C23" s="3" t="s">
        <v>226</v>
      </c>
      <c r="D23" s="3" t="s">
        <v>233</v>
      </c>
    </row>
    <row r="24" spans="1:4" ht="16">
      <c r="A24" s="3">
        <v>23</v>
      </c>
      <c r="B24" s="3" t="s">
        <v>237</v>
      </c>
      <c r="C24" s="3" t="s">
        <v>226</v>
      </c>
      <c r="D24" s="3" t="s">
        <v>233</v>
      </c>
    </row>
    <row r="25" spans="1:4" ht="16">
      <c r="A25" s="3">
        <v>24</v>
      </c>
      <c r="B25" s="3" t="s">
        <v>239</v>
      </c>
      <c r="C25" s="3" t="s">
        <v>240</v>
      </c>
      <c r="D25" s="3" t="s">
        <v>247</v>
      </c>
    </row>
    <row r="26" spans="1:4" ht="16">
      <c r="A26" s="3">
        <v>25</v>
      </c>
      <c r="B26" s="3" t="s">
        <v>249</v>
      </c>
      <c r="C26" s="3" t="s">
        <v>240</v>
      </c>
      <c r="D26" s="3" t="s">
        <v>247</v>
      </c>
    </row>
    <row r="27" spans="1:4" ht="16">
      <c r="A27" s="3">
        <v>26</v>
      </c>
      <c r="B27" s="3" t="s">
        <v>252</v>
      </c>
      <c r="C27" s="3" t="s">
        <v>240</v>
      </c>
      <c r="D27" s="3" t="s">
        <v>247</v>
      </c>
    </row>
    <row r="28" spans="1:4" ht="16">
      <c r="A28" s="3">
        <v>27</v>
      </c>
      <c r="B28" s="3" t="s">
        <v>255</v>
      </c>
      <c r="C28" s="3" t="s">
        <v>256</v>
      </c>
      <c r="D28" s="3" t="s">
        <v>513</v>
      </c>
    </row>
    <row r="29" spans="1:4" ht="16">
      <c r="A29" s="3">
        <v>28</v>
      </c>
      <c r="B29" s="3" t="s">
        <v>266</v>
      </c>
      <c r="C29" s="3" t="s">
        <v>267</v>
      </c>
      <c r="D29" s="3" t="s">
        <v>275</v>
      </c>
    </row>
    <row r="30" spans="1:4" ht="16">
      <c r="A30" s="3">
        <v>29</v>
      </c>
      <c r="B30" s="3" t="s">
        <v>278</v>
      </c>
      <c r="C30" s="3" t="s">
        <v>279</v>
      </c>
      <c r="D30" s="3" t="s">
        <v>283</v>
      </c>
    </row>
    <row r="31" spans="1:4" ht="16">
      <c r="A31" s="3">
        <v>30</v>
      </c>
      <c r="B31" s="3" t="s">
        <v>287</v>
      </c>
      <c r="C31" s="3" t="s">
        <v>288</v>
      </c>
      <c r="D31" s="3" t="s">
        <v>290</v>
      </c>
    </row>
    <row r="32" spans="1:4" ht="16">
      <c r="A32" s="3">
        <v>31</v>
      </c>
      <c r="B32" s="3" t="s">
        <v>291</v>
      </c>
      <c r="C32" s="3" t="s">
        <v>292</v>
      </c>
      <c r="D32" s="3" t="s">
        <v>293</v>
      </c>
    </row>
    <row r="33" spans="1:4" ht="16">
      <c r="A33" s="3">
        <v>32</v>
      </c>
      <c r="B33" s="3" t="s">
        <v>294</v>
      </c>
      <c r="C33" s="3" t="s">
        <v>292</v>
      </c>
      <c r="D33" s="3" t="s">
        <v>293</v>
      </c>
    </row>
    <row r="34" spans="1:4" ht="16">
      <c r="A34" s="3">
        <v>33</v>
      </c>
      <c r="B34" s="3" t="s">
        <v>296</v>
      </c>
      <c r="C34" s="3" t="s">
        <v>297</v>
      </c>
      <c r="D34" s="3" t="s">
        <v>303</v>
      </c>
    </row>
    <row r="35" spans="1:4" ht="16">
      <c r="A35" s="3">
        <v>34</v>
      </c>
      <c r="B35" s="3" t="s">
        <v>305</v>
      </c>
      <c r="C35" s="3" t="s">
        <v>297</v>
      </c>
      <c r="D35" s="3" t="s">
        <v>303</v>
      </c>
    </row>
    <row r="36" spans="1:4" ht="16">
      <c r="A36" s="3">
        <v>35</v>
      </c>
      <c r="B36" s="3" t="s">
        <v>308</v>
      </c>
      <c r="C36" s="3" t="s">
        <v>297</v>
      </c>
      <c r="D36" s="3" t="s">
        <v>303</v>
      </c>
    </row>
    <row r="37" spans="1:4" ht="16">
      <c r="A37" s="3">
        <v>36</v>
      </c>
      <c r="B37" s="3" t="s">
        <v>311</v>
      </c>
      <c r="C37" s="3" t="s">
        <v>297</v>
      </c>
      <c r="D37" s="3" t="s">
        <v>303</v>
      </c>
    </row>
    <row r="38" spans="1:4" ht="16">
      <c r="A38" s="3">
        <v>37</v>
      </c>
      <c r="B38" s="3" t="s">
        <v>313</v>
      </c>
      <c r="C38" s="3" t="s">
        <v>314</v>
      </c>
      <c r="D38" s="3" t="s">
        <v>320</v>
      </c>
    </row>
    <row r="39" spans="1:4" ht="16">
      <c r="A39" s="3">
        <v>38</v>
      </c>
      <c r="B39" s="3" t="s">
        <v>322</v>
      </c>
      <c r="C39" s="3" t="s">
        <v>323</v>
      </c>
      <c r="D39" s="3" t="s">
        <v>330</v>
      </c>
    </row>
    <row r="40" spans="1:4" ht="16">
      <c r="A40" s="3">
        <v>39</v>
      </c>
      <c r="B40" s="3" t="s">
        <v>332</v>
      </c>
      <c r="C40" s="3" t="s">
        <v>333</v>
      </c>
      <c r="D40" s="3" t="s">
        <v>514</v>
      </c>
    </row>
    <row r="41" spans="1:4" ht="16">
      <c r="A41" s="3">
        <v>40</v>
      </c>
      <c r="B41" s="3" t="s">
        <v>515</v>
      </c>
      <c r="C41" s="3" t="s">
        <v>516</v>
      </c>
      <c r="D41" s="3"/>
    </row>
    <row r="42" spans="1:4" ht="16">
      <c r="A42" s="3">
        <v>41</v>
      </c>
      <c r="B42" s="3" t="s">
        <v>345</v>
      </c>
      <c r="C42" s="3" t="s">
        <v>346</v>
      </c>
      <c r="D42" s="3" t="s">
        <v>358</v>
      </c>
    </row>
    <row r="43" spans="1:4" ht="16">
      <c r="A43" s="3">
        <v>42</v>
      </c>
      <c r="B43" s="3" t="s">
        <v>360</v>
      </c>
      <c r="C43" s="3" t="s">
        <v>346</v>
      </c>
      <c r="D43" s="3" t="s">
        <v>358</v>
      </c>
    </row>
    <row r="44" spans="1:4" ht="16">
      <c r="A44" s="3">
        <v>43</v>
      </c>
      <c r="B44" s="3" t="s">
        <v>362</v>
      </c>
      <c r="C44" s="3" t="s">
        <v>363</v>
      </c>
      <c r="D44" s="3" t="s">
        <v>369</v>
      </c>
    </row>
    <row r="45" spans="1:4" ht="16">
      <c r="A45" s="3">
        <v>44</v>
      </c>
      <c r="B45" s="3" t="s">
        <v>371</v>
      </c>
      <c r="C45" s="3" t="s">
        <v>372</v>
      </c>
      <c r="D45" s="3" t="s">
        <v>376</v>
      </c>
    </row>
    <row r="46" spans="1:4" ht="16">
      <c r="A46" s="3">
        <v>45</v>
      </c>
      <c r="B46" s="3" t="s">
        <v>378</v>
      </c>
      <c r="C46" s="3" t="s">
        <v>372</v>
      </c>
      <c r="D46" s="3" t="s">
        <v>376</v>
      </c>
    </row>
    <row r="47" spans="1:4" ht="16">
      <c r="A47" s="3">
        <v>46</v>
      </c>
      <c r="B47" s="3" t="s">
        <v>379</v>
      </c>
      <c r="C47" s="3" t="s">
        <v>372</v>
      </c>
      <c r="D47" s="3" t="s">
        <v>376</v>
      </c>
    </row>
    <row r="48" spans="1:4" ht="16">
      <c r="A48" s="3">
        <v>47</v>
      </c>
      <c r="B48" s="3" t="s">
        <v>380</v>
      </c>
      <c r="C48" s="3" t="s">
        <v>381</v>
      </c>
      <c r="D48" s="3" t="s">
        <v>385</v>
      </c>
    </row>
    <row r="49" spans="1:4" ht="16">
      <c r="A49" s="3">
        <v>48</v>
      </c>
      <c r="B49" s="3" t="s">
        <v>387</v>
      </c>
      <c r="C49" s="3" t="s">
        <v>388</v>
      </c>
      <c r="D49" s="3" t="s">
        <v>395</v>
      </c>
    </row>
    <row r="50" spans="1:4" ht="16">
      <c r="A50" s="3">
        <v>49</v>
      </c>
      <c r="B50" s="3" t="s">
        <v>397</v>
      </c>
      <c r="C50" s="3" t="s">
        <v>398</v>
      </c>
      <c r="D50" s="3" t="s">
        <v>404</v>
      </c>
    </row>
    <row r="51" spans="1:4" ht="16">
      <c r="A51" s="3">
        <v>50</v>
      </c>
      <c r="B51" s="3" t="s">
        <v>406</v>
      </c>
      <c r="C51" s="3" t="s">
        <v>407</v>
      </c>
      <c r="D51" s="3" t="s">
        <v>414</v>
      </c>
    </row>
    <row r="52" spans="1:4" ht="16">
      <c r="A52" s="3">
        <v>51</v>
      </c>
      <c r="B52" s="3" t="s">
        <v>416</v>
      </c>
      <c r="C52" s="3" t="s">
        <v>417</v>
      </c>
      <c r="D52" s="3" t="s">
        <v>427</v>
      </c>
    </row>
    <row r="53" spans="1:4" ht="16">
      <c r="A53" s="3">
        <v>52</v>
      </c>
      <c r="B53" s="3" t="s">
        <v>430</v>
      </c>
      <c r="C53" s="3" t="s">
        <v>431</v>
      </c>
      <c r="D53" s="3" t="s">
        <v>434</v>
      </c>
    </row>
    <row r="54" spans="1:4" ht="16">
      <c r="A54" s="3">
        <v>53</v>
      </c>
      <c r="B54" s="3" t="s">
        <v>437</v>
      </c>
      <c r="C54" s="3" t="s">
        <v>438</v>
      </c>
      <c r="D54" s="3" t="s">
        <v>447</v>
      </c>
    </row>
    <row r="55" spans="1:4" ht="16">
      <c r="A55" s="3">
        <v>54</v>
      </c>
      <c r="B55" s="3" t="s">
        <v>449</v>
      </c>
      <c r="C55" s="3" t="s">
        <v>438</v>
      </c>
      <c r="D55" s="3" t="s">
        <v>447</v>
      </c>
    </row>
    <row r="56" spans="1:4" ht="16">
      <c r="A56" s="3">
        <v>55</v>
      </c>
      <c r="B56" s="3" t="s">
        <v>450</v>
      </c>
      <c r="C56" s="3" t="s">
        <v>451</v>
      </c>
      <c r="D56" s="3" t="s">
        <v>458</v>
      </c>
    </row>
    <row r="57" spans="1:4" ht="16">
      <c r="A57" s="3">
        <v>56</v>
      </c>
      <c r="B57" s="3" t="s">
        <v>460</v>
      </c>
      <c r="C57" s="3" t="s">
        <v>461</v>
      </c>
      <c r="D57" s="3" t="s">
        <v>469</v>
      </c>
    </row>
    <row r="58" spans="1:4" ht="16">
      <c r="A58" s="3">
        <v>57</v>
      </c>
      <c r="B58" s="3" t="s">
        <v>473</v>
      </c>
      <c r="C58" s="3" t="s">
        <v>474</v>
      </c>
      <c r="D58" s="3" t="s">
        <v>480</v>
      </c>
    </row>
    <row r="59" spans="1:4" ht="16">
      <c r="A59" s="3">
        <v>58</v>
      </c>
      <c r="B59" s="3" t="s">
        <v>482</v>
      </c>
      <c r="C59" s="3" t="s">
        <v>474</v>
      </c>
      <c r="D59" s="3" t="s">
        <v>480</v>
      </c>
    </row>
    <row r="60" spans="1:4" ht="16">
      <c r="A60" s="3">
        <v>59</v>
      </c>
      <c r="B60" s="3" t="s">
        <v>485</v>
      </c>
      <c r="C60" s="3" t="s">
        <v>486</v>
      </c>
      <c r="D60" s="3" t="s">
        <v>487</v>
      </c>
    </row>
    <row r="61" spans="1:4" ht="16">
      <c r="A61" s="3">
        <v>60</v>
      </c>
      <c r="B61" s="3" t="s">
        <v>489</v>
      </c>
      <c r="C61" s="3" t="s">
        <v>490</v>
      </c>
      <c r="D61" t="s">
        <v>491</v>
      </c>
    </row>
    <row r="62" spans="1:4" ht="16">
      <c r="A62" s="3">
        <v>61</v>
      </c>
      <c r="B62" s="3" t="s">
        <v>493</v>
      </c>
      <c r="C62" s="3" t="s">
        <v>494</v>
      </c>
      <c r="D62" s="3" t="s">
        <v>495</v>
      </c>
    </row>
    <row r="63" spans="1:4" ht="16">
      <c r="A63" s="3">
        <v>62</v>
      </c>
      <c r="B63" s="3" t="s">
        <v>496</v>
      </c>
      <c r="C63" s="3" t="s">
        <v>497</v>
      </c>
      <c r="D63" s="3" t="s">
        <v>500</v>
      </c>
    </row>
    <row r="64" spans="1:4" ht="16">
      <c r="A64" s="3">
        <v>63</v>
      </c>
      <c r="B64" s="3" t="s">
        <v>505</v>
      </c>
      <c r="C64" s="3" t="s">
        <v>506</v>
      </c>
      <c r="D64" s="3" t="s">
        <v>507</v>
      </c>
    </row>
    <row r="65" spans="1:4" ht="16">
      <c r="A65" s="3"/>
      <c r="B65" s="3"/>
      <c r="C65" s="3"/>
      <c r="D65" s="3"/>
    </row>
    <row r="66" spans="1:4" ht="16">
      <c r="A66" s="3"/>
      <c r="B66" s="3"/>
      <c r="C66" s="3"/>
      <c r="D66" s="3"/>
    </row>
    <row r="67" spans="1:4" ht="16">
      <c r="A67" s="3"/>
      <c r="B67" s="3"/>
      <c r="C67" s="3"/>
      <c r="D67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 Chuan-Peng</cp:lastModifiedBy>
  <dcterms:created xsi:type="dcterms:W3CDTF">2023-09-11T05:50:00Z</dcterms:created>
  <dcterms:modified xsi:type="dcterms:W3CDTF">2026-08-08T16:24:10Z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36CE2C1C461B4674B2D1216803F3962B_43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